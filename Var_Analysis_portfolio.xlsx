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esktop\Abhi\Market risk project\"/>
    </mc:Choice>
  </mc:AlternateContent>
  <xr:revisionPtr revIDLastSave="0" documentId="13_ncr:1_{AC455D86-1840-43A9-9CAD-59D37D0DA351}" xr6:coauthVersionLast="47" xr6:coauthVersionMax="47" xr10:uidLastSave="{00000000-0000-0000-0000-000000000000}"/>
  <bookViews>
    <workbookView xWindow="720" yWindow="270" windowWidth="18480" windowHeight="9810" activeTab="4" xr2:uid="{BD895FAD-5D13-44D4-8D66-A721C6FE7C05}"/>
  </bookViews>
  <sheets>
    <sheet name="Price Data" sheetId="1" r:id="rId1"/>
    <sheet name="Log Returns" sheetId="2" r:id="rId2"/>
    <sheet name="VaR Model" sheetId="3" r:id="rId3"/>
    <sheet name="Backtesting" sheetId="4" r:id="rId4"/>
    <sheet name="PBI dat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M2" i="5"/>
  <c r="L2" i="5"/>
  <c r="K2" i="5"/>
  <c r="J2" i="5"/>
  <c r="H5" i="5"/>
  <c r="F3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B2" i="5"/>
  <c r="A2" i="5"/>
  <c r="I10" i="4"/>
  <c r="I6" i="4"/>
  <c r="I15" i="4"/>
  <c r="I12" i="4"/>
  <c r="I9" i="4"/>
  <c r="I5" i="4"/>
  <c r="I8" i="4"/>
  <c r="I4" i="4"/>
  <c r="I2" i="4"/>
  <c r="F745" i="4"/>
  <c r="D74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2" i="4"/>
  <c r="G24" i="3"/>
  <c r="G23" i="3"/>
  <c r="G22" i="3"/>
  <c r="G21" i="3"/>
  <c r="G19" i="3"/>
  <c r="G18" i="3"/>
  <c r="G17" i="3"/>
  <c r="G16" i="3"/>
  <c r="G14" i="3"/>
  <c r="G13" i="3"/>
  <c r="G8" i="3"/>
  <c r="G3" i="3"/>
  <c r="G10" i="3"/>
  <c r="G9" i="3"/>
  <c r="G7" i="3"/>
  <c r="G5" i="3"/>
  <c r="G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3" i="3"/>
  <c r="C4" i="3"/>
  <c r="C5" i="3"/>
  <c r="C6" i="3"/>
  <c r="C7" i="3"/>
  <c r="C8" i="3"/>
  <c r="C9" i="3"/>
  <c r="C10" i="3"/>
  <c r="C11" i="3"/>
  <c r="C2" i="3"/>
  <c r="D2" i="3"/>
  <c r="B7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D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2" i="2"/>
</calcChain>
</file>

<file path=xl/sharedStrings.xml><?xml version="1.0" encoding="utf-8"?>
<sst xmlns="http://schemas.openxmlformats.org/spreadsheetml/2006/main" count="72" uniqueCount="42">
  <si>
    <t>Date</t>
  </si>
  <si>
    <t>Reliance</t>
  </si>
  <si>
    <t>TCS</t>
  </si>
  <si>
    <t>Infosys</t>
  </si>
  <si>
    <t>ICICI</t>
  </si>
  <si>
    <t>ITC</t>
  </si>
  <si>
    <t>STOCK</t>
  </si>
  <si>
    <t>WEIGHT</t>
  </si>
  <si>
    <t>Total:</t>
  </si>
  <si>
    <t>Portfolio Return</t>
  </si>
  <si>
    <t>DATES</t>
  </si>
  <si>
    <t>VaR Statistics</t>
  </si>
  <si>
    <t>Var in %</t>
  </si>
  <si>
    <t>Portfolio Value</t>
  </si>
  <si>
    <t>Var in  ₹</t>
  </si>
  <si>
    <t>99% VaR (Daily)</t>
  </si>
  <si>
    <t>95% Var (Daily)</t>
  </si>
  <si>
    <t>Variance Co-Variance Var</t>
  </si>
  <si>
    <t>Mean (Daily Return)</t>
  </si>
  <si>
    <t>Std. Deviation</t>
  </si>
  <si>
    <t>99% Var Daily</t>
  </si>
  <si>
    <t>99% VaR</t>
  </si>
  <si>
    <t>VaR Breach</t>
  </si>
  <si>
    <t>95%VaR</t>
  </si>
  <si>
    <t>Total Breaches :</t>
  </si>
  <si>
    <t xml:space="preserve">Total Breaches : </t>
  </si>
  <si>
    <t>Backtesting Summary</t>
  </si>
  <si>
    <t xml:space="preserve">Total Trading Days </t>
  </si>
  <si>
    <t>Expected Breaches</t>
  </si>
  <si>
    <t>99% VaR Breaches</t>
  </si>
  <si>
    <t>95% VaR Breaches</t>
  </si>
  <si>
    <t>Breach Rate (99%)</t>
  </si>
  <si>
    <t>Breach Ratio (95%)</t>
  </si>
  <si>
    <t>Model Accuracy Verdict</t>
  </si>
  <si>
    <t>99% Breach</t>
  </si>
  <si>
    <t>95% Breach</t>
  </si>
  <si>
    <t>Value</t>
  </si>
  <si>
    <t>Historical Simulation 99</t>
  </si>
  <si>
    <t>Historical Simulation 95</t>
  </si>
  <si>
    <t>Variance-Covariance 99</t>
  </si>
  <si>
    <t>Variance-Covariance 95</t>
  </si>
  <si>
    <t>Method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</si>
</sst>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0.00000%"/>
    <numFmt numFmtId="170" formatCode="0.0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haroni"/>
      <charset val="177"/>
    </font>
    <font>
      <b/>
      <sz val="11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4" fontId="0" fillId="0" borderId="0" xfId="0" applyNumberFormat="1"/>
    <xf numFmtId="14" fontId="0" fillId="0" borderId="0" xfId="0" applyNumberFormat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5" fillId="2" borderId="1" xfId="0" applyFon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10" fontId="0" fillId="0" borderId="6" xfId="1" applyNumberFormat="1" applyFont="1" applyBorder="1"/>
    <xf numFmtId="164" fontId="0" fillId="0" borderId="6" xfId="0" applyNumberFormat="1" applyBorder="1"/>
    <xf numFmtId="0" fontId="0" fillId="0" borderId="11" xfId="0" applyBorder="1" applyAlignment="1">
      <alignment horizontal="center"/>
    </xf>
    <xf numFmtId="164" fontId="0" fillId="0" borderId="8" xfId="0" applyNumberFormat="1" applyBorder="1"/>
    <xf numFmtId="0" fontId="0" fillId="2" borderId="1" xfId="0" applyFill="1" applyBorder="1" applyAlignment="1">
      <alignment horizontal="center"/>
    </xf>
    <xf numFmtId="0" fontId="0" fillId="3" borderId="9" xfId="0" applyFill="1" applyBorder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2" xfId="0" applyFill="1" applyBorder="1"/>
    <xf numFmtId="0" fontId="6" fillId="3" borderId="7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indent="2"/>
    </xf>
    <xf numFmtId="0" fontId="0" fillId="2" borderId="1" xfId="0" applyFill="1" applyBorder="1"/>
    <xf numFmtId="0" fontId="5" fillId="2" borderId="1" xfId="0" applyFont="1" applyFill="1" applyBorder="1" applyAlignment="1">
      <alignment horizontal="left" indent="7"/>
    </xf>
    <xf numFmtId="164" fontId="0" fillId="0" borderId="6" xfId="1" applyNumberFormat="1" applyFont="1" applyBorder="1"/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4" borderId="1" xfId="0" applyFont="1" applyFill="1" applyBorder="1"/>
    <xf numFmtId="0" fontId="2" fillId="4" borderId="2" xfId="0" applyFont="1" applyFill="1" applyBorder="1"/>
    <xf numFmtId="0" fontId="0" fillId="6" borderId="0" xfId="0" applyFill="1" applyAlignment="1">
      <alignment horizontal="left" inden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2" fillId="0" borderId="5" xfId="0" applyNumberFormat="1" applyFont="1" applyBorder="1" applyAlignment="1">
      <alignment horizontal="center"/>
    </xf>
    <xf numFmtId="9" fontId="2" fillId="0" borderId="11" xfId="0" applyNumberFormat="1" applyFont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left" indent="12"/>
    </xf>
    <xf numFmtId="10" fontId="0" fillId="0" borderId="6" xfId="1" applyNumberFormat="1" applyFont="1" applyBorder="1" applyAlignment="1">
      <alignment horizontal="center"/>
    </xf>
    <xf numFmtId="14" fontId="0" fillId="0" borderId="5" xfId="0" applyNumberFormat="1" applyBorder="1"/>
    <xf numFmtId="14" fontId="0" fillId="0" borderId="11" xfId="0" applyNumberFormat="1" applyBorder="1"/>
    <xf numFmtId="0" fontId="0" fillId="0" borderId="15" xfId="0" applyBorder="1"/>
    <xf numFmtId="0" fontId="2" fillId="2" borderId="1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0" fontId="0" fillId="0" borderId="0" xfId="0" applyNumberFormat="1"/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165" fontId="0" fillId="0" borderId="6" xfId="0" applyNumberFormat="1" applyBorder="1"/>
    <xf numFmtId="165" fontId="0" fillId="0" borderId="8" xfId="0" applyNumberFormat="1" applyBorder="1"/>
    <xf numFmtId="165" fontId="5" fillId="2" borderId="1" xfId="1" applyNumberFormat="1" applyFont="1" applyFill="1" applyBorder="1"/>
    <xf numFmtId="165" fontId="0" fillId="0" borderId="0" xfId="1" applyNumberFormat="1" applyFont="1"/>
    <xf numFmtId="165" fontId="2" fillId="4" borderId="1" xfId="1" applyNumberFormat="1" applyFont="1" applyFill="1" applyBorder="1"/>
    <xf numFmtId="165" fontId="2" fillId="0" borderId="0" xfId="1" applyNumberFormat="1" applyFont="1"/>
    <xf numFmtId="10" fontId="5" fillId="2" borderId="1" xfId="0" applyNumberFormat="1" applyFont="1" applyFill="1" applyBorder="1"/>
    <xf numFmtId="165" fontId="5" fillId="2" borderId="1" xfId="0" applyNumberFormat="1" applyFont="1" applyFill="1" applyBorder="1"/>
    <xf numFmtId="10" fontId="2" fillId="4" borderId="1" xfId="0" applyNumberFormat="1" applyFont="1" applyFill="1" applyBorder="1"/>
    <xf numFmtId="0" fontId="3" fillId="2" borderId="1" xfId="1" applyNumberFormat="1" applyFont="1" applyFill="1" applyBorder="1"/>
    <xf numFmtId="0" fontId="0" fillId="0" borderId="0" xfId="1" applyNumberFormat="1" applyFont="1"/>
    <xf numFmtId="0" fontId="3" fillId="2" borderId="3" xfId="1" applyNumberFormat="1" applyFont="1" applyFill="1" applyBorder="1"/>
    <xf numFmtId="0" fontId="3" fillId="2" borderId="4" xfId="1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4" fontId="2" fillId="2" borderId="17" xfId="0" applyNumberFormat="1" applyFont="1" applyFill="1" applyBorder="1" applyAlignment="1">
      <alignment horizontal="center"/>
    </xf>
    <xf numFmtId="14" fontId="5" fillId="2" borderId="1" xfId="0" applyNumberFormat="1" applyFont="1" applyFill="1" applyBorder="1"/>
    <xf numFmtId="14" fontId="5" fillId="2" borderId="4" xfId="0" applyNumberFormat="1" applyFont="1" applyFill="1" applyBorder="1"/>
    <xf numFmtId="0" fontId="2" fillId="2" borderId="19" xfId="0" applyFont="1" applyFill="1" applyBorder="1" applyAlignment="1">
      <alignment horizontal="left" indent="6"/>
    </xf>
    <xf numFmtId="0" fontId="0" fillId="0" borderId="0" xfId="0" applyBorder="1"/>
    <xf numFmtId="0" fontId="2" fillId="0" borderId="11" xfId="0" applyFont="1" applyBorder="1" applyAlignment="1">
      <alignment horizontal="center"/>
    </xf>
    <xf numFmtId="170" fontId="2" fillId="2" borderId="16" xfId="0" applyNumberFormat="1" applyFont="1" applyFill="1" applyBorder="1" applyAlignment="1">
      <alignment horizontal="center"/>
    </xf>
    <xf numFmtId="170" fontId="0" fillId="0" borderId="0" xfId="0" applyNumberFormat="1"/>
    <xf numFmtId="170" fontId="0" fillId="0" borderId="15" xfId="0" applyNumberFormat="1" applyBorder="1"/>
    <xf numFmtId="9" fontId="2" fillId="2" borderId="10" xfId="0" applyNumberFormat="1" applyFont="1" applyFill="1" applyBorder="1" applyAlignment="1">
      <alignment horizontal="center"/>
    </xf>
    <xf numFmtId="9" fontId="2" fillId="2" borderId="20" xfId="0" applyNumberFormat="1" applyFont="1" applyFill="1" applyBorder="1" applyAlignment="1">
      <alignment horizontal="center"/>
    </xf>
    <xf numFmtId="9" fontId="2" fillId="2" borderId="18" xfId="0" applyNumberFormat="1" applyFont="1" applyFill="1" applyBorder="1" applyAlignment="1">
      <alignment horizontal="center"/>
    </xf>
    <xf numFmtId="14" fontId="0" fillId="0" borderId="0" xfId="0" applyNumberFormat="1" applyBorder="1"/>
    <xf numFmtId="14" fontId="0" fillId="0" borderId="15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88E7-071E-47EE-9C7A-AA96E51C61A1}">
  <dimension ref="A1:F744"/>
  <sheetViews>
    <sheetView workbookViewId="0">
      <selection sqref="A1:A1048576"/>
    </sheetView>
  </sheetViews>
  <sheetFormatPr defaultRowHeight="14.5" x14ac:dyDescent="0.35"/>
  <cols>
    <col min="1" max="1" width="11.1796875" style="2" customWidth="1"/>
    <col min="2" max="2" width="11" customWidth="1"/>
    <col min="3" max="3" width="7.90625" customWidth="1"/>
    <col min="4" max="4" width="9" customWidth="1"/>
  </cols>
  <sheetData>
    <row r="1" spans="1:6" ht="17.5" thickBot="1" x14ac:dyDescent="0.55000000000000004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>
        <v>44564</v>
      </c>
      <c r="B2" s="1">
        <v>1091.18</v>
      </c>
      <c r="C2" s="1">
        <v>3817.75</v>
      </c>
      <c r="D2">
        <v>764.7</v>
      </c>
      <c r="E2" s="1">
        <v>1898.45</v>
      </c>
      <c r="F2">
        <v>219.1</v>
      </c>
    </row>
    <row r="3" spans="1:6" x14ac:dyDescent="0.35">
      <c r="A3" s="2">
        <v>44565</v>
      </c>
      <c r="B3" s="1">
        <v>1115.8</v>
      </c>
      <c r="C3" s="1">
        <v>3884.75</v>
      </c>
      <c r="D3">
        <v>772.85</v>
      </c>
      <c r="E3" s="1">
        <v>1899.15</v>
      </c>
      <c r="F3">
        <v>220.25</v>
      </c>
    </row>
    <row r="4" spans="1:6" x14ac:dyDescent="0.35">
      <c r="A4" s="2">
        <v>44566</v>
      </c>
      <c r="B4" s="1">
        <v>1121.02</v>
      </c>
      <c r="C4" s="1">
        <v>3860.95</v>
      </c>
      <c r="D4">
        <v>788.05</v>
      </c>
      <c r="E4" s="1">
        <v>1844.65</v>
      </c>
      <c r="F4">
        <v>220.55</v>
      </c>
    </row>
    <row r="5" spans="1:6" x14ac:dyDescent="0.35">
      <c r="A5" s="2">
        <v>44567</v>
      </c>
      <c r="B5" s="1">
        <v>1096.92</v>
      </c>
      <c r="C5" s="1">
        <v>3807.45</v>
      </c>
      <c r="D5">
        <v>785.05</v>
      </c>
      <c r="E5" s="1">
        <v>1817.8</v>
      </c>
      <c r="F5">
        <v>218.7</v>
      </c>
    </row>
    <row r="6" spans="1:6" x14ac:dyDescent="0.35">
      <c r="A6" s="2">
        <v>44568</v>
      </c>
      <c r="B6" s="1">
        <v>1105.77</v>
      </c>
      <c r="C6" s="1">
        <v>3853.5</v>
      </c>
      <c r="D6">
        <v>793.25</v>
      </c>
      <c r="E6" s="1">
        <v>1814.3</v>
      </c>
      <c r="F6">
        <v>218.4</v>
      </c>
    </row>
    <row r="7" spans="1:6" x14ac:dyDescent="0.35">
      <c r="A7" s="2">
        <v>44571</v>
      </c>
      <c r="B7" s="1">
        <v>1106.68</v>
      </c>
      <c r="C7" s="1">
        <v>3879.85</v>
      </c>
      <c r="D7">
        <v>810.75</v>
      </c>
      <c r="E7" s="1">
        <v>1850.75</v>
      </c>
      <c r="F7">
        <v>223.3</v>
      </c>
    </row>
    <row r="8" spans="1:6" x14ac:dyDescent="0.35">
      <c r="A8" s="2">
        <v>44572</v>
      </c>
      <c r="B8" s="1">
        <v>1114.6500000000001</v>
      </c>
      <c r="C8" s="1">
        <v>3915.9</v>
      </c>
      <c r="D8">
        <v>810.65</v>
      </c>
      <c r="E8" s="1">
        <v>1855.6</v>
      </c>
      <c r="F8">
        <v>221.95</v>
      </c>
    </row>
    <row r="9" spans="1:6" x14ac:dyDescent="0.35">
      <c r="A9" s="2">
        <v>44573</v>
      </c>
      <c r="B9" s="1">
        <v>1144.4000000000001</v>
      </c>
      <c r="C9" s="1">
        <v>3859.9</v>
      </c>
      <c r="D9">
        <v>823.75</v>
      </c>
      <c r="E9" s="1">
        <v>1877.45</v>
      </c>
      <c r="F9">
        <v>222.75</v>
      </c>
    </row>
    <row r="10" spans="1:6" x14ac:dyDescent="0.35">
      <c r="A10" s="2">
        <v>44574</v>
      </c>
      <c r="B10" s="1">
        <v>1150.8499999999999</v>
      </c>
      <c r="C10" s="1">
        <v>3897.9</v>
      </c>
      <c r="D10">
        <v>824.7</v>
      </c>
      <c r="E10" s="1">
        <v>1896.8</v>
      </c>
      <c r="F10">
        <v>223.95</v>
      </c>
    </row>
    <row r="11" spans="1:6" x14ac:dyDescent="0.35">
      <c r="A11" s="2">
        <v>44575</v>
      </c>
      <c r="B11" s="1">
        <v>1152.53</v>
      </c>
      <c r="C11" s="1">
        <v>3968.15</v>
      </c>
      <c r="D11">
        <v>820</v>
      </c>
      <c r="E11" s="1">
        <v>1929.35</v>
      </c>
      <c r="F11">
        <v>222.6</v>
      </c>
    </row>
    <row r="12" spans="1:6" x14ac:dyDescent="0.35">
      <c r="A12" s="2">
        <v>44578</v>
      </c>
      <c r="B12" s="1">
        <v>1158.54</v>
      </c>
      <c r="C12" s="1">
        <v>4019.15</v>
      </c>
      <c r="D12">
        <v>819.3</v>
      </c>
      <c r="E12" s="1">
        <v>1939.5</v>
      </c>
      <c r="F12">
        <v>224.6</v>
      </c>
    </row>
    <row r="13" spans="1:6" x14ac:dyDescent="0.35">
      <c r="A13" s="2">
        <v>44579</v>
      </c>
      <c r="B13" s="1">
        <v>1144.72</v>
      </c>
      <c r="C13" s="1">
        <v>3990.6</v>
      </c>
      <c r="D13">
        <v>823.1</v>
      </c>
      <c r="E13" s="1">
        <v>1920.75</v>
      </c>
      <c r="F13">
        <v>220.75</v>
      </c>
    </row>
    <row r="14" spans="1:6" x14ac:dyDescent="0.35">
      <c r="A14" s="2">
        <v>44580</v>
      </c>
      <c r="B14" s="1">
        <v>1144.6300000000001</v>
      </c>
      <c r="C14" s="1">
        <v>3914.65</v>
      </c>
      <c r="D14">
        <v>808.6</v>
      </c>
      <c r="E14" s="1">
        <v>1867.05</v>
      </c>
      <c r="F14">
        <v>220.35</v>
      </c>
    </row>
    <row r="15" spans="1:6" x14ac:dyDescent="0.35">
      <c r="A15" s="2">
        <v>44581</v>
      </c>
      <c r="B15" s="1">
        <v>1124.5899999999999</v>
      </c>
      <c r="C15" s="1">
        <v>3826.55</v>
      </c>
      <c r="D15">
        <v>810.25</v>
      </c>
      <c r="E15" s="1">
        <v>1823.7</v>
      </c>
      <c r="F15">
        <v>218.75</v>
      </c>
    </row>
    <row r="16" spans="1:6" x14ac:dyDescent="0.35">
      <c r="A16" s="2">
        <v>44582</v>
      </c>
      <c r="B16" s="1">
        <v>1124.77</v>
      </c>
      <c r="C16" s="1">
        <v>3833.5</v>
      </c>
      <c r="D16">
        <v>804.5</v>
      </c>
      <c r="E16" s="1">
        <v>1785.7</v>
      </c>
      <c r="F16">
        <v>217.05</v>
      </c>
    </row>
    <row r="17" spans="1:6" x14ac:dyDescent="0.35">
      <c r="A17" s="2">
        <v>44585</v>
      </c>
      <c r="B17" s="1">
        <v>1079.4000000000001</v>
      </c>
      <c r="C17" s="1">
        <v>3771.35</v>
      </c>
      <c r="D17">
        <v>798.45</v>
      </c>
      <c r="E17" s="1">
        <v>1736.8</v>
      </c>
      <c r="F17">
        <v>211.8</v>
      </c>
    </row>
    <row r="18" spans="1:6" x14ac:dyDescent="0.35">
      <c r="A18" s="2">
        <v>44586</v>
      </c>
      <c r="B18" s="1">
        <v>1077.29</v>
      </c>
      <c r="C18" s="1">
        <v>3769.9</v>
      </c>
      <c r="D18">
        <v>801.65</v>
      </c>
      <c r="E18" s="1">
        <v>1722.15</v>
      </c>
      <c r="F18">
        <v>214.3</v>
      </c>
    </row>
    <row r="19" spans="1:6" x14ac:dyDescent="0.35">
      <c r="A19" s="2">
        <v>44588</v>
      </c>
      <c r="B19" s="1">
        <v>1061.33</v>
      </c>
      <c r="C19" s="1">
        <v>3649.25</v>
      </c>
      <c r="D19">
        <v>794.65</v>
      </c>
      <c r="E19" s="1">
        <v>1678.6</v>
      </c>
      <c r="F19">
        <v>214.6</v>
      </c>
    </row>
    <row r="20" spans="1:6" x14ac:dyDescent="0.35">
      <c r="A20" s="2">
        <v>44589</v>
      </c>
      <c r="B20" s="1">
        <v>1060.31</v>
      </c>
      <c r="C20" s="1">
        <v>3690.05</v>
      </c>
      <c r="D20">
        <v>781.15</v>
      </c>
      <c r="E20" s="1">
        <v>1686.2</v>
      </c>
      <c r="F20">
        <v>217.6</v>
      </c>
    </row>
    <row r="21" spans="1:6" x14ac:dyDescent="0.35">
      <c r="A21" s="2">
        <v>44592</v>
      </c>
      <c r="B21" s="1">
        <v>1083.3499999999999</v>
      </c>
      <c r="C21" s="1">
        <v>3736.25</v>
      </c>
      <c r="D21">
        <v>788.8</v>
      </c>
      <c r="E21" s="1">
        <v>1736.2</v>
      </c>
      <c r="F21">
        <v>220.2</v>
      </c>
    </row>
    <row r="22" spans="1:6" x14ac:dyDescent="0.35">
      <c r="A22" s="2">
        <v>44593</v>
      </c>
      <c r="B22" s="1">
        <v>1079.76</v>
      </c>
      <c r="C22" s="1">
        <v>3800.65</v>
      </c>
      <c r="D22">
        <v>810.3</v>
      </c>
      <c r="E22" s="1">
        <v>1772.05</v>
      </c>
      <c r="F22">
        <v>227.75</v>
      </c>
    </row>
    <row r="23" spans="1:6" x14ac:dyDescent="0.35">
      <c r="A23" s="2">
        <v>44594</v>
      </c>
      <c r="B23" s="1">
        <v>1081.96</v>
      </c>
      <c r="C23" s="1">
        <v>3856.2</v>
      </c>
      <c r="D23">
        <v>813.75</v>
      </c>
      <c r="E23" s="1">
        <v>1787.1</v>
      </c>
      <c r="F23">
        <v>232.15</v>
      </c>
    </row>
    <row r="24" spans="1:6" x14ac:dyDescent="0.35">
      <c r="A24" s="2">
        <v>44595</v>
      </c>
      <c r="B24" s="1">
        <v>1067.98</v>
      </c>
      <c r="C24" s="1">
        <v>3824.6</v>
      </c>
      <c r="D24">
        <v>808.95</v>
      </c>
      <c r="E24" s="1">
        <v>1738.55</v>
      </c>
      <c r="F24">
        <v>234.45</v>
      </c>
    </row>
    <row r="25" spans="1:6" x14ac:dyDescent="0.35">
      <c r="A25" s="2">
        <v>44596</v>
      </c>
      <c r="B25" s="1">
        <v>1058.25</v>
      </c>
      <c r="C25" s="1">
        <v>3814.9</v>
      </c>
      <c r="D25">
        <v>805.05</v>
      </c>
      <c r="E25" s="1">
        <v>1741.1</v>
      </c>
      <c r="F25">
        <v>234.3</v>
      </c>
    </row>
    <row r="26" spans="1:6" x14ac:dyDescent="0.35">
      <c r="A26" s="2">
        <v>44599</v>
      </c>
      <c r="B26" s="1">
        <v>1051.8</v>
      </c>
      <c r="C26" s="1">
        <v>3779</v>
      </c>
      <c r="D26">
        <v>786.4</v>
      </c>
      <c r="E26" s="1">
        <v>1715</v>
      </c>
      <c r="F26">
        <v>230.2</v>
      </c>
    </row>
    <row r="27" spans="1:6" x14ac:dyDescent="0.35">
      <c r="A27" s="2">
        <v>44600</v>
      </c>
      <c r="B27" s="1">
        <v>1069.48</v>
      </c>
      <c r="C27" s="1">
        <v>3743.45</v>
      </c>
      <c r="D27">
        <v>792.5</v>
      </c>
      <c r="E27" s="1">
        <v>1717.3</v>
      </c>
      <c r="F27">
        <v>231.25</v>
      </c>
    </row>
    <row r="28" spans="1:6" x14ac:dyDescent="0.35">
      <c r="A28" s="2">
        <v>44601</v>
      </c>
      <c r="B28" s="1">
        <v>1081.94</v>
      </c>
      <c r="C28" s="1">
        <v>3760.55</v>
      </c>
      <c r="D28">
        <v>802.8</v>
      </c>
      <c r="E28" s="1">
        <v>1737.3</v>
      </c>
      <c r="F28">
        <v>230.15</v>
      </c>
    </row>
    <row r="29" spans="1:6" x14ac:dyDescent="0.35">
      <c r="A29" s="2">
        <v>44602</v>
      </c>
      <c r="B29" s="1">
        <v>1080.83</v>
      </c>
      <c r="C29" s="1">
        <v>3770.35</v>
      </c>
      <c r="D29">
        <v>805.5</v>
      </c>
      <c r="E29" s="1">
        <v>1769.6</v>
      </c>
      <c r="F29">
        <v>232.25</v>
      </c>
    </row>
    <row r="30" spans="1:6" x14ac:dyDescent="0.35">
      <c r="A30" s="2">
        <v>44603</v>
      </c>
      <c r="B30" s="1">
        <v>1078.72</v>
      </c>
      <c r="C30" s="1">
        <v>3694.95</v>
      </c>
      <c r="D30">
        <v>790.8</v>
      </c>
      <c r="E30" s="1">
        <v>1721.35</v>
      </c>
      <c r="F30">
        <v>232.45</v>
      </c>
    </row>
    <row r="31" spans="1:6" x14ac:dyDescent="0.35">
      <c r="A31" s="2">
        <v>44606</v>
      </c>
      <c r="B31" s="1">
        <v>1061.54</v>
      </c>
      <c r="C31" s="1">
        <v>3733.75</v>
      </c>
      <c r="D31">
        <v>753.7</v>
      </c>
      <c r="E31" s="1">
        <v>1682.2</v>
      </c>
      <c r="F31">
        <v>219.45</v>
      </c>
    </row>
    <row r="32" spans="1:6" x14ac:dyDescent="0.35">
      <c r="A32" s="2">
        <v>44607</v>
      </c>
      <c r="B32" s="1">
        <v>1097.58</v>
      </c>
      <c r="C32" s="1">
        <v>3817.8</v>
      </c>
      <c r="D32">
        <v>776.05</v>
      </c>
      <c r="E32" s="1">
        <v>1738.25</v>
      </c>
      <c r="F32">
        <v>223</v>
      </c>
    </row>
    <row r="33" spans="1:6" x14ac:dyDescent="0.35">
      <c r="A33" s="2">
        <v>44608</v>
      </c>
      <c r="B33" s="1">
        <v>1095.31</v>
      </c>
      <c r="C33" s="1">
        <v>3813.1</v>
      </c>
      <c r="D33">
        <v>764.05</v>
      </c>
      <c r="E33" s="1">
        <v>1733.3</v>
      </c>
      <c r="F33">
        <v>222.75</v>
      </c>
    </row>
    <row r="34" spans="1:6" x14ac:dyDescent="0.35">
      <c r="A34" s="2">
        <v>44609</v>
      </c>
      <c r="B34" s="1">
        <v>1109.18</v>
      </c>
      <c r="C34" s="1">
        <v>3784.2</v>
      </c>
      <c r="D34">
        <v>750.35</v>
      </c>
      <c r="E34" s="1">
        <v>1724.8</v>
      </c>
      <c r="F34">
        <v>222.65</v>
      </c>
    </row>
    <row r="35" spans="1:6" x14ac:dyDescent="0.35">
      <c r="A35" s="2">
        <v>44610</v>
      </c>
      <c r="B35" s="1">
        <v>1100.51</v>
      </c>
      <c r="C35" s="1">
        <v>3793.9</v>
      </c>
      <c r="D35">
        <v>748.9</v>
      </c>
      <c r="E35" s="1">
        <v>1706.95</v>
      </c>
      <c r="F35">
        <v>221.9</v>
      </c>
    </row>
    <row r="36" spans="1:6" x14ac:dyDescent="0.35">
      <c r="A36" s="2">
        <v>44613</v>
      </c>
      <c r="B36" s="1">
        <v>1089.3900000000001</v>
      </c>
      <c r="C36" s="1">
        <v>3719.4</v>
      </c>
      <c r="D36">
        <v>754.45</v>
      </c>
      <c r="E36" s="1">
        <v>1730.7</v>
      </c>
      <c r="F36">
        <v>218</v>
      </c>
    </row>
    <row r="37" spans="1:6" x14ac:dyDescent="0.35">
      <c r="A37" s="2">
        <v>44614</v>
      </c>
      <c r="B37" s="1">
        <v>1084.44</v>
      </c>
      <c r="C37" s="1">
        <v>3586.4</v>
      </c>
      <c r="D37">
        <v>751.3</v>
      </c>
      <c r="E37" s="1">
        <v>1734.35</v>
      </c>
      <c r="F37">
        <v>214.85</v>
      </c>
    </row>
    <row r="38" spans="1:6" x14ac:dyDescent="0.35">
      <c r="A38" s="2">
        <v>44615</v>
      </c>
      <c r="B38" s="1">
        <v>1077.6500000000001</v>
      </c>
      <c r="C38" s="1">
        <v>3563.8</v>
      </c>
      <c r="D38">
        <v>744.6</v>
      </c>
      <c r="E38" s="1">
        <v>1742.85</v>
      </c>
      <c r="F38">
        <v>215.95</v>
      </c>
    </row>
    <row r="39" spans="1:6" x14ac:dyDescent="0.35">
      <c r="A39" s="2">
        <v>44616</v>
      </c>
      <c r="B39" s="1">
        <v>1023.95</v>
      </c>
      <c r="C39" s="1">
        <v>3401.65</v>
      </c>
      <c r="D39">
        <v>707.4</v>
      </c>
      <c r="E39" s="1">
        <v>1678.15</v>
      </c>
      <c r="F39">
        <v>208.5</v>
      </c>
    </row>
    <row r="40" spans="1:6" x14ac:dyDescent="0.35">
      <c r="A40" s="2">
        <v>44617</v>
      </c>
      <c r="B40" s="1">
        <v>1036.75</v>
      </c>
      <c r="C40" s="1">
        <v>3520.75</v>
      </c>
      <c r="D40">
        <v>730.05</v>
      </c>
      <c r="E40" s="1">
        <v>1694.6</v>
      </c>
      <c r="F40">
        <v>213.95</v>
      </c>
    </row>
    <row r="41" spans="1:6" x14ac:dyDescent="0.35">
      <c r="A41" s="2">
        <v>44620</v>
      </c>
      <c r="B41" s="1">
        <v>1071.07</v>
      </c>
      <c r="C41" s="1">
        <v>3554.2</v>
      </c>
      <c r="D41">
        <v>742.7</v>
      </c>
      <c r="E41" s="1">
        <v>1715.6</v>
      </c>
      <c r="F41">
        <v>215.85</v>
      </c>
    </row>
    <row r="42" spans="1:6" x14ac:dyDescent="0.35">
      <c r="A42" s="2">
        <v>44622</v>
      </c>
      <c r="B42" s="1">
        <v>1088.77</v>
      </c>
      <c r="C42" s="1">
        <v>3546.15</v>
      </c>
      <c r="D42">
        <v>714.85</v>
      </c>
      <c r="E42" s="1">
        <v>1702.8</v>
      </c>
      <c r="F42">
        <v>215.3</v>
      </c>
    </row>
    <row r="43" spans="1:6" x14ac:dyDescent="0.35">
      <c r="A43" s="2">
        <v>44623</v>
      </c>
      <c r="B43" s="1">
        <v>1079.58</v>
      </c>
      <c r="C43" s="1">
        <v>3544.4</v>
      </c>
      <c r="D43">
        <v>698.3</v>
      </c>
      <c r="E43" s="1">
        <v>1720.85</v>
      </c>
      <c r="F43">
        <v>219.4</v>
      </c>
    </row>
    <row r="44" spans="1:6" x14ac:dyDescent="0.35">
      <c r="A44" s="2">
        <v>44624</v>
      </c>
      <c r="B44" s="1">
        <v>1055.6400000000001</v>
      </c>
      <c r="C44" s="1">
        <v>3524.35</v>
      </c>
      <c r="D44">
        <v>688.05</v>
      </c>
      <c r="E44" s="1">
        <v>1723.3</v>
      </c>
      <c r="F44">
        <v>225.5</v>
      </c>
    </row>
    <row r="45" spans="1:6" x14ac:dyDescent="0.35">
      <c r="A45" s="2">
        <v>44627</v>
      </c>
      <c r="B45" s="1">
        <v>1016.6</v>
      </c>
      <c r="C45" s="1">
        <v>3484.9</v>
      </c>
      <c r="D45">
        <v>653.75</v>
      </c>
      <c r="E45" s="1">
        <v>1739.85</v>
      </c>
      <c r="F45">
        <v>224.95</v>
      </c>
    </row>
    <row r="46" spans="1:6" x14ac:dyDescent="0.35">
      <c r="A46" s="2">
        <v>44628</v>
      </c>
      <c r="B46" s="1">
        <v>1014.76</v>
      </c>
      <c r="C46" s="1">
        <v>3599.95</v>
      </c>
      <c r="D46">
        <v>665</v>
      </c>
      <c r="E46" s="1">
        <v>1778.2</v>
      </c>
      <c r="F46">
        <v>226.9</v>
      </c>
    </row>
    <row r="47" spans="1:6" x14ac:dyDescent="0.35">
      <c r="A47" s="2">
        <v>44629</v>
      </c>
      <c r="B47" s="1">
        <v>1068.5999999999999</v>
      </c>
      <c r="C47" s="1">
        <v>3632.6</v>
      </c>
      <c r="D47">
        <v>667.45</v>
      </c>
      <c r="E47" s="1">
        <v>1813.35</v>
      </c>
      <c r="F47">
        <v>229.25</v>
      </c>
    </row>
    <row r="48" spans="1:6" x14ac:dyDescent="0.35">
      <c r="A48" s="2">
        <v>44630</v>
      </c>
      <c r="B48" s="1">
        <v>1085.9100000000001</v>
      </c>
      <c r="C48" s="1">
        <v>3620.95</v>
      </c>
      <c r="D48">
        <v>676.6</v>
      </c>
      <c r="E48" s="1">
        <v>1825.9</v>
      </c>
      <c r="F48">
        <v>232</v>
      </c>
    </row>
    <row r="49" spans="1:6" x14ac:dyDescent="0.35">
      <c r="A49" s="2">
        <v>44631</v>
      </c>
      <c r="B49" s="1">
        <v>1089.04</v>
      </c>
      <c r="C49" s="1">
        <v>3599.15</v>
      </c>
      <c r="D49">
        <v>677.9</v>
      </c>
      <c r="E49" s="1">
        <v>1822</v>
      </c>
      <c r="F49">
        <v>236.35</v>
      </c>
    </row>
    <row r="50" spans="1:6" x14ac:dyDescent="0.35">
      <c r="A50" s="2">
        <v>44634</v>
      </c>
      <c r="B50" s="1">
        <v>1097.99</v>
      </c>
      <c r="C50" s="1">
        <v>3643</v>
      </c>
      <c r="D50">
        <v>696.15</v>
      </c>
      <c r="E50" s="1">
        <v>1890.7</v>
      </c>
      <c r="F50">
        <v>239</v>
      </c>
    </row>
    <row r="51" spans="1:6" x14ac:dyDescent="0.35">
      <c r="A51" s="2">
        <v>44635</v>
      </c>
      <c r="B51" s="1">
        <v>1072.8399999999999</v>
      </c>
      <c r="C51" s="1">
        <v>3593.9</v>
      </c>
      <c r="D51">
        <v>697.35</v>
      </c>
      <c r="E51" s="1">
        <v>1839.3</v>
      </c>
      <c r="F51">
        <v>237.85</v>
      </c>
    </row>
    <row r="52" spans="1:6" x14ac:dyDescent="0.35">
      <c r="A52" s="2">
        <v>44636</v>
      </c>
      <c r="B52" s="1">
        <v>1090.95</v>
      </c>
      <c r="C52" s="1">
        <v>3655.9</v>
      </c>
      <c r="D52">
        <v>708</v>
      </c>
      <c r="E52" s="1">
        <v>1889.4</v>
      </c>
      <c r="F52">
        <v>242.6</v>
      </c>
    </row>
    <row r="53" spans="1:6" x14ac:dyDescent="0.35">
      <c r="A53" s="2">
        <v>44637</v>
      </c>
      <c r="B53" s="1">
        <v>1126.52</v>
      </c>
      <c r="C53" s="1">
        <v>3672.75</v>
      </c>
      <c r="D53">
        <v>720.1</v>
      </c>
      <c r="E53" s="1">
        <v>1854.6</v>
      </c>
      <c r="F53">
        <v>244.9</v>
      </c>
    </row>
    <row r="54" spans="1:6" x14ac:dyDescent="0.35">
      <c r="A54" s="2">
        <v>44641</v>
      </c>
      <c r="B54" s="1">
        <v>1120.03</v>
      </c>
      <c r="C54" s="1">
        <v>3626.7</v>
      </c>
      <c r="D54">
        <v>710.75</v>
      </c>
      <c r="E54" s="1">
        <v>1853.05</v>
      </c>
      <c r="F54">
        <v>244.5</v>
      </c>
    </row>
    <row r="55" spans="1:6" x14ac:dyDescent="0.35">
      <c r="A55" s="2">
        <v>44642</v>
      </c>
      <c r="B55" s="1">
        <v>1148.96</v>
      </c>
      <c r="C55" s="1">
        <v>3700.95</v>
      </c>
      <c r="D55">
        <v>718.2</v>
      </c>
      <c r="E55" s="1">
        <v>1887.4</v>
      </c>
      <c r="F55">
        <v>249.75</v>
      </c>
    </row>
    <row r="56" spans="1:6" x14ac:dyDescent="0.35">
      <c r="A56" s="2">
        <v>44643</v>
      </c>
      <c r="B56" s="1">
        <v>1152.6199999999999</v>
      </c>
      <c r="C56" s="1">
        <v>3712.4</v>
      </c>
      <c r="D56">
        <v>718.3</v>
      </c>
      <c r="E56" s="1">
        <v>1872.4</v>
      </c>
      <c r="F56">
        <v>252</v>
      </c>
    </row>
    <row r="57" spans="1:6" x14ac:dyDescent="0.35">
      <c r="A57" s="2">
        <v>44644</v>
      </c>
      <c r="B57" s="1">
        <v>1170.53</v>
      </c>
      <c r="C57" s="1">
        <v>3749.85</v>
      </c>
      <c r="D57">
        <v>704.2</v>
      </c>
      <c r="E57" s="1">
        <v>1886.7</v>
      </c>
      <c r="F57">
        <v>254.85</v>
      </c>
    </row>
    <row r="58" spans="1:6" x14ac:dyDescent="0.35">
      <c r="A58" s="2">
        <v>44645</v>
      </c>
      <c r="B58" s="1">
        <v>1178.33</v>
      </c>
      <c r="C58" s="1">
        <v>3707.45</v>
      </c>
      <c r="D58">
        <v>699.25</v>
      </c>
      <c r="E58" s="1">
        <v>1876.55</v>
      </c>
      <c r="F58">
        <v>253.35</v>
      </c>
    </row>
    <row r="59" spans="1:6" x14ac:dyDescent="0.35">
      <c r="A59" s="2">
        <v>44648</v>
      </c>
      <c r="B59" s="1">
        <v>1190.18</v>
      </c>
      <c r="C59" s="1">
        <v>3707.7</v>
      </c>
      <c r="D59">
        <v>710.35</v>
      </c>
      <c r="E59" s="1">
        <v>1873.9</v>
      </c>
      <c r="F59">
        <v>257.05</v>
      </c>
    </row>
    <row r="60" spans="1:6" x14ac:dyDescent="0.35">
      <c r="A60" s="2">
        <v>44649</v>
      </c>
      <c r="B60" s="1">
        <v>1190.45</v>
      </c>
      <c r="C60" s="1">
        <v>3705.35</v>
      </c>
      <c r="D60">
        <v>715.3</v>
      </c>
      <c r="E60" s="1">
        <v>1886</v>
      </c>
      <c r="F60">
        <v>254.6</v>
      </c>
    </row>
    <row r="61" spans="1:6" x14ac:dyDescent="0.35">
      <c r="A61" s="2">
        <v>44650</v>
      </c>
      <c r="B61" s="1">
        <v>1213.33</v>
      </c>
      <c r="C61" s="1">
        <v>3731.55</v>
      </c>
      <c r="D61">
        <v>730.9</v>
      </c>
      <c r="E61" s="1">
        <v>1903.95</v>
      </c>
      <c r="F61">
        <v>249.2</v>
      </c>
    </row>
    <row r="62" spans="1:6" x14ac:dyDescent="0.35">
      <c r="A62" s="2">
        <v>44651</v>
      </c>
      <c r="B62" s="1">
        <v>1195.99</v>
      </c>
      <c r="C62" s="1">
        <v>3739.95</v>
      </c>
      <c r="D62">
        <v>730.3</v>
      </c>
      <c r="E62" s="1">
        <v>1906.85</v>
      </c>
      <c r="F62">
        <v>250.65</v>
      </c>
    </row>
    <row r="63" spans="1:6" x14ac:dyDescent="0.35">
      <c r="A63" s="2">
        <v>44652</v>
      </c>
      <c r="B63" s="1">
        <v>1205.57</v>
      </c>
      <c r="C63" s="1">
        <v>3758.75</v>
      </c>
      <c r="D63">
        <v>736.25</v>
      </c>
      <c r="E63" s="1">
        <v>1903.55</v>
      </c>
      <c r="F63">
        <v>253.3</v>
      </c>
    </row>
    <row r="64" spans="1:6" x14ac:dyDescent="0.35">
      <c r="A64" s="2">
        <v>44655</v>
      </c>
      <c r="B64" s="1">
        <v>1209.1300000000001</v>
      </c>
      <c r="C64" s="1">
        <v>3770.35</v>
      </c>
      <c r="D64">
        <v>746.6</v>
      </c>
      <c r="E64" s="1">
        <v>1882.95</v>
      </c>
      <c r="F64">
        <v>255.45</v>
      </c>
    </row>
    <row r="65" spans="1:6" x14ac:dyDescent="0.35">
      <c r="A65" s="2">
        <v>44656</v>
      </c>
      <c r="B65" s="1">
        <v>1192.04</v>
      </c>
      <c r="C65" s="1">
        <v>3814.8</v>
      </c>
      <c r="D65">
        <v>741.8</v>
      </c>
      <c r="E65" s="1">
        <v>1861.1</v>
      </c>
      <c r="F65">
        <v>259.45</v>
      </c>
    </row>
    <row r="66" spans="1:6" x14ac:dyDescent="0.35">
      <c r="A66" s="2">
        <v>44657</v>
      </c>
      <c r="B66" s="1">
        <v>1188.8599999999999</v>
      </c>
      <c r="C66" s="1">
        <v>3755.35</v>
      </c>
      <c r="D66">
        <v>741.6</v>
      </c>
      <c r="E66" s="1">
        <v>1828.85</v>
      </c>
      <c r="F66">
        <v>259.60000000000002</v>
      </c>
    </row>
    <row r="67" spans="1:6" x14ac:dyDescent="0.35">
      <c r="A67" s="2">
        <v>44658</v>
      </c>
      <c r="B67" s="1">
        <v>1167.8900000000001</v>
      </c>
      <c r="C67" s="1">
        <v>3684.15</v>
      </c>
      <c r="D67">
        <v>748.55</v>
      </c>
      <c r="E67" s="1">
        <v>1811</v>
      </c>
      <c r="F67">
        <v>256.64999999999998</v>
      </c>
    </row>
    <row r="68" spans="1:6" x14ac:dyDescent="0.35">
      <c r="A68" s="2">
        <v>44659</v>
      </c>
      <c r="B68" s="1">
        <v>1187.32</v>
      </c>
      <c r="C68" s="1">
        <v>3685.65</v>
      </c>
      <c r="D68">
        <v>754.3</v>
      </c>
      <c r="E68" s="1">
        <v>1814.6</v>
      </c>
      <c r="F68">
        <v>266.16000000000003</v>
      </c>
    </row>
    <row r="69" spans="1:6" x14ac:dyDescent="0.35">
      <c r="A69" s="2">
        <v>44662</v>
      </c>
      <c r="B69" s="1">
        <v>1184.8499999999999</v>
      </c>
      <c r="C69" s="1">
        <v>3696.4</v>
      </c>
      <c r="D69">
        <v>759.6</v>
      </c>
      <c r="E69" s="1">
        <v>1766.55</v>
      </c>
      <c r="F69">
        <v>267.5</v>
      </c>
    </row>
    <row r="70" spans="1:6" x14ac:dyDescent="0.35">
      <c r="A70" s="2">
        <v>44663</v>
      </c>
      <c r="B70" s="1">
        <v>1162.54</v>
      </c>
      <c r="C70" s="1">
        <v>3691.1</v>
      </c>
      <c r="D70">
        <v>763.85</v>
      </c>
      <c r="E70" s="1">
        <v>1742.45</v>
      </c>
      <c r="F70">
        <v>263.18</v>
      </c>
    </row>
    <row r="71" spans="1:6" x14ac:dyDescent="0.35">
      <c r="A71" s="2">
        <v>44664</v>
      </c>
      <c r="B71" s="1">
        <v>1158.27</v>
      </c>
      <c r="C71" s="1">
        <v>3661.95</v>
      </c>
      <c r="D71">
        <v>762.25</v>
      </c>
      <c r="E71" s="1">
        <v>1748.55</v>
      </c>
      <c r="F71">
        <v>269.55</v>
      </c>
    </row>
    <row r="72" spans="1:6" x14ac:dyDescent="0.35">
      <c r="A72" s="2">
        <v>44669</v>
      </c>
      <c r="B72" s="1">
        <v>1154.73</v>
      </c>
      <c r="C72" s="1">
        <v>3528.05</v>
      </c>
      <c r="D72">
        <v>757.8</v>
      </c>
      <c r="E72" s="1">
        <v>1621.4</v>
      </c>
      <c r="F72">
        <v>268.45</v>
      </c>
    </row>
    <row r="73" spans="1:6" x14ac:dyDescent="0.35">
      <c r="A73" s="2">
        <v>44670</v>
      </c>
      <c r="B73" s="1">
        <v>1198.74</v>
      </c>
      <c r="C73" s="1">
        <v>3471.9</v>
      </c>
      <c r="D73">
        <v>766.3</v>
      </c>
      <c r="E73" s="1">
        <v>1562</v>
      </c>
      <c r="F73">
        <v>261.55</v>
      </c>
    </row>
    <row r="74" spans="1:6" x14ac:dyDescent="0.35">
      <c r="A74" s="2">
        <v>44671</v>
      </c>
      <c r="B74" s="1">
        <v>1233.98</v>
      </c>
      <c r="C74" s="1">
        <v>3556.8</v>
      </c>
      <c r="D74">
        <v>755.55</v>
      </c>
      <c r="E74" s="1">
        <v>1587.7</v>
      </c>
      <c r="F74">
        <v>259.55</v>
      </c>
    </row>
    <row r="75" spans="1:6" x14ac:dyDescent="0.35">
      <c r="A75" s="2">
        <v>44672</v>
      </c>
      <c r="B75" s="1">
        <v>1262.8800000000001</v>
      </c>
      <c r="C75" s="1">
        <v>3628.65</v>
      </c>
      <c r="D75">
        <v>762.35</v>
      </c>
      <c r="E75" s="1">
        <v>1618.8</v>
      </c>
      <c r="F75">
        <v>260.39999999999998</v>
      </c>
    </row>
    <row r="76" spans="1:6" x14ac:dyDescent="0.35">
      <c r="A76" s="2">
        <v>44673</v>
      </c>
      <c r="B76" s="1">
        <v>1252.3</v>
      </c>
      <c r="C76" s="1">
        <v>3612.55</v>
      </c>
      <c r="D76">
        <v>747.65</v>
      </c>
      <c r="E76" s="1">
        <v>1585.45</v>
      </c>
      <c r="F76">
        <v>261.10000000000002</v>
      </c>
    </row>
    <row r="77" spans="1:6" x14ac:dyDescent="0.35">
      <c r="A77" s="2">
        <v>44676</v>
      </c>
      <c r="B77" s="1">
        <v>1223.3399999999999</v>
      </c>
      <c r="C77" s="1">
        <v>3548.2</v>
      </c>
      <c r="D77">
        <v>752.2</v>
      </c>
      <c r="E77" s="1">
        <v>1561.1</v>
      </c>
      <c r="F77">
        <v>255.25</v>
      </c>
    </row>
    <row r="78" spans="1:6" x14ac:dyDescent="0.35">
      <c r="A78" s="2">
        <v>44677</v>
      </c>
      <c r="B78" s="1">
        <v>1259.95</v>
      </c>
      <c r="C78" s="1">
        <v>3546.3</v>
      </c>
      <c r="D78">
        <v>753.75</v>
      </c>
      <c r="E78" s="1">
        <v>1581</v>
      </c>
      <c r="F78">
        <v>258.95</v>
      </c>
    </row>
    <row r="79" spans="1:6" x14ac:dyDescent="0.35">
      <c r="A79" s="2">
        <v>44678</v>
      </c>
      <c r="B79" s="1">
        <v>1261.18</v>
      </c>
      <c r="C79" s="1">
        <v>3561.2</v>
      </c>
      <c r="D79">
        <v>736.7</v>
      </c>
      <c r="E79" s="1">
        <v>1552.8</v>
      </c>
      <c r="F79">
        <v>257.5</v>
      </c>
    </row>
    <row r="80" spans="1:6" x14ac:dyDescent="0.35">
      <c r="A80" s="2">
        <v>44679</v>
      </c>
      <c r="B80" s="1">
        <v>1280.01</v>
      </c>
      <c r="C80" s="1">
        <v>3584.3</v>
      </c>
      <c r="D80">
        <v>747.15</v>
      </c>
      <c r="E80" s="1">
        <v>1582.6</v>
      </c>
      <c r="F80">
        <v>261.10000000000002</v>
      </c>
    </row>
    <row r="81" spans="1:6" x14ac:dyDescent="0.35">
      <c r="A81" s="2">
        <v>44680</v>
      </c>
      <c r="B81" s="1">
        <v>1266.58</v>
      </c>
      <c r="C81" s="1">
        <v>3546.7</v>
      </c>
      <c r="D81">
        <v>743.3</v>
      </c>
      <c r="E81" s="1">
        <v>1567.55</v>
      </c>
      <c r="F81">
        <v>259.55</v>
      </c>
    </row>
    <row r="82" spans="1:6" x14ac:dyDescent="0.35">
      <c r="A82" s="2">
        <v>44683</v>
      </c>
      <c r="B82" s="1">
        <v>1262.1300000000001</v>
      </c>
      <c r="C82" s="1">
        <v>3542.4</v>
      </c>
      <c r="D82">
        <v>741</v>
      </c>
      <c r="E82" s="1">
        <v>1541</v>
      </c>
      <c r="F82">
        <v>263.14999999999998</v>
      </c>
    </row>
    <row r="83" spans="1:6" x14ac:dyDescent="0.35">
      <c r="A83" s="2">
        <v>44685</v>
      </c>
      <c r="B83" s="1">
        <v>1222.73</v>
      </c>
      <c r="C83" s="1">
        <v>3479.75</v>
      </c>
      <c r="D83">
        <v>724.25</v>
      </c>
      <c r="E83" s="1">
        <v>1535.55</v>
      </c>
      <c r="F83">
        <v>259.75</v>
      </c>
    </row>
    <row r="84" spans="1:6" x14ac:dyDescent="0.35">
      <c r="A84" s="2">
        <v>44686</v>
      </c>
      <c r="B84" s="1">
        <v>1198.78</v>
      </c>
      <c r="C84" s="1">
        <v>3513.4</v>
      </c>
      <c r="D84">
        <v>728.8</v>
      </c>
      <c r="E84" s="1">
        <v>1585.15</v>
      </c>
      <c r="F84">
        <v>262.05</v>
      </c>
    </row>
    <row r="85" spans="1:6" x14ac:dyDescent="0.35">
      <c r="A85" s="2">
        <v>44687</v>
      </c>
      <c r="B85" s="1">
        <v>1189.5899999999999</v>
      </c>
      <c r="C85" s="1">
        <v>3432.6</v>
      </c>
      <c r="D85">
        <v>719.25</v>
      </c>
      <c r="E85" s="1">
        <v>1542.85</v>
      </c>
      <c r="F85">
        <v>266.64999999999998</v>
      </c>
    </row>
    <row r="86" spans="1:6" x14ac:dyDescent="0.35">
      <c r="A86" s="2">
        <v>44690</v>
      </c>
      <c r="B86" s="1">
        <v>1143.1300000000001</v>
      </c>
      <c r="C86" s="1">
        <v>3445.1</v>
      </c>
      <c r="D86">
        <v>710.35</v>
      </c>
      <c r="E86" s="1">
        <v>1570.35</v>
      </c>
      <c r="F86">
        <v>261.33999999999997</v>
      </c>
    </row>
    <row r="87" spans="1:6" x14ac:dyDescent="0.35">
      <c r="A87" s="2">
        <v>44691</v>
      </c>
      <c r="B87" s="1">
        <v>1123.32</v>
      </c>
      <c r="C87" s="1">
        <v>3438.75</v>
      </c>
      <c r="D87">
        <v>711.3</v>
      </c>
      <c r="E87" s="1">
        <v>1553</v>
      </c>
      <c r="F87">
        <v>259.75</v>
      </c>
    </row>
    <row r="88" spans="1:6" x14ac:dyDescent="0.35">
      <c r="A88" s="2">
        <v>44692</v>
      </c>
      <c r="B88" s="1">
        <v>1111.81</v>
      </c>
      <c r="C88" s="1">
        <v>3412</v>
      </c>
      <c r="D88">
        <v>714.2</v>
      </c>
      <c r="E88" s="1">
        <v>1526.75</v>
      </c>
      <c r="F88">
        <v>254.09</v>
      </c>
    </row>
    <row r="89" spans="1:6" x14ac:dyDescent="0.35">
      <c r="A89" s="2">
        <v>44693</v>
      </c>
      <c r="B89" s="1">
        <v>1089.1600000000001</v>
      </c>
      <c r="C89" s="1">
        <v>3408.65</v>
      </c>
      <c r="D89">
        <v>695.8</v>
      </c>
      <c r="E89" s="1">
        <v>1508.8</v>
      </c>
      <c r="F89">
        <v>251.35</v>
      </c>
    </row>
    <row r="90" spans="1:6" x14ac:dyDescent="0.35">
      <c r="A90" s="2">
        <v>44694</v>
      </c>
      <c r="B90" s="1">
        <v>1101.51</v>
      </c>
      <c r="C90" s="1">
        <v>3414.9</v>
      </c>
      <c r="D90">
        <v>677.35</v>
      </c>
      <c r="E90" s="1">
        <v>1504.4</v>
      </c>
      <c r="F90">
        <v>258.60000000000002</v>
      </c>
    </row>
    <row r="91" spans="1:6" x14ac:dyDescent="0.35">
      <c r="A91" s="2">
        <v>44697</v>
      </c>
      <c r="B91" s="1">
        <v>1101.78</v>
      </c>
      <c r="C91" s="1">
        <v>3376.8</v>
      </c>
      <c r="D91">
        <v>683</v>
      </c>
      <c r="E91" s="1">
        <v>1489.1</v>
      </c>
      <c r="F91">
        <v>254.1</v>
      </c>
    </row>
    <row r="92" spans="1:6" x14ac:dyDescent="0.35">
      <c r="A92" s="2">
        <v>44698</v>
      </c>
      <c r="B92" s="1">
        <v>1148.06</v>
      </c>
      <c r="C92" s="1">
        <v>3451.6</v>
      </c>
      <c r="D92">
        <v>710</v>
      </c>
      <c r="E92" s="1">
        <v>1509.94</v>
      </c>
      <c r="F92">
        <v>264.7</v>
      </c>
    </row>
    <row r="93" spans="1:6" x14ac:dyDescent="0.35">
      <c r="A93" s="2">
        <v>44699</v>
      </c>
      <c r="B93" s="1">
        <v>1152.23</v>
      </c>
      <c r="C93" s="1">
        <v>3448.8</v>
      </c>
      <c r="D93">
        <v>707.35</v>
      </c>
      <c r="E93" s="1">
        <v>1500.74</v>
      </c>
      <c r="F93">
        <v>266.8</v>
      </c>
    </row>
    <row r="94" spans="1:6" x14ac:dyDescent="0.35">
      <c r="A94" s="2">
        <v>44700</v>
      </c>
      <c r="B94" s="1">
        <v>1125.68</v>
      </c>
      <c r="C94" s="1">
        <v>3261.95</v>
      </c>
      <c r="D94">
        <v>690.3</v>
      </c>
      <c r="E94" s="1">
        <v>1419.15</v>
      </c>
      <c r="F94">
        <v>273.95999999999998</v>
      </c>
    </row>
    <row r="95" spans="1:6" x14ac:dyDescent="0.35">
      <c r="A95" s="2">
        <v>44701</v>
      </c>
      <c r="B95" s="1">
        <v>1191.32</v>
      </c>
      <c r="C95" s="1">
        <v>3293</v>
      </c>
      <c r="D95">
        <v>709.55</v>
      </c>
      <c r="E95" s="1">
        <v>1446.99</v>
      </c>
      <c r="F95">
        <v>278.29000000000002</v>
      </c>
    </row>
    <row r="96" spans="1:6" x14ac:dyDescent="0.35">
      <c r="A96" s="2">
        <v>44704</v>
      </c>
      <c r="B96" s="1">
        <v>1183.3499999999999</v>
      </c>
      <c r="C96" s="1">
        <v>3321.75</v>
      </c>
      <c r="D96">
        <v>711.05</v>
      </c>
      <c r="E96" s="1">
        <v>1460.17</v>
      </c>
      <c r="F96">
        <v>272.82</v>
      </c>
    </row>
    <row r="97" spans="1:6" x14ac:dyDescent="0.35">
      <c r="A97" s="2">
        <v>44705</v>
      </c>
      <c r="B97" s="1">
        <v>1187.4100000000001</v>
      </c>
      <c r="C97" s="1">
        <v>3288</v>
      </c>
      <c r="D97">
        <v>708.15</v>
      </c>
      <c r="E97" s="1">
        <v>1432.93</v>
      </c>
      <c r="F97">
        <v>269.19</v>
      </c>
    </row>
    <row r="98" spans="1:6" x14ac:dyDescent="0.35">
      <c r="A98" s="2">
        <v>44706</v>
      </c>
      <c r="B98" s="1">
        <v>1185.6600000000001</v>
      </c>
      <c r="C98" s="1">
        <v>3167.65</v>
      </c>
      <c r="D98">
        <v>713.35</v>
      </c>
      <c r="E98" s="1">
        <v>1402.55</v>
      </c>
      <c r="F98">
        <v>271.02999999999997</v>
      </c>
    </row>
    <row r="99" spans="1:6" x14ac:dyDescent="0.35">
      <c r="A99" s="2">
        <v>44707</v>
      </c>
      <c r="B99" s="1">
        <v>1174.3599999999999</v>
      </c>
      <c r="C99" s="1">
        <v>3226.95</v>
      </c>
      <c r="D99">
        <v>728.5</v>
      </c>
      <c r="E99" s="1">
        <v>1415.97</v>
      </c>
      <c r="F99">
        <v>265.07</v>
      </c>
    </row>
    <row r="100" spans="1:6" x14ac:dyDescent="0.35">
      <c r="A100" s="2">
        <v>44708</v>
      </c>
      <c r="B100" s="1">
        <v>1168.9100000000001</v>
      </c>
      <c r="C100" s="1">
        <v>3261.3</v>
      </c>
      <c r="D100">
        <v>739.8</v>
      </c>
      <c r="E100" s="1">
        <v>1453.16</v>
      </c>
      <c r="F100">
        <v>267.55</v>
      </c>
    </row>
    <row r="101" spans="1:6" x14ac:dyDescent="0.35">
      <c r="A101" s="2">
        <v>44711</v>
      </c>
      <c r="B101" s="1">
        <v>1209.6300000000001</v>
      </c>
      <c r="C101" s="1">
        <v>3375.25</v>
      </c>
      <c r="D101">
        <v>748.5</v>
      </c>
      <c r="E101" s="1">
        <v>1518.24</v>
      </c>
      <c r="F101">
        <v>267.39999999999998</v>
      </c>
    </row>
    <row r="102" spans="1:6" x14ac:dyDescent="0.35">
      <c r="A102" s="2">
        <v>44712</v>
      </c>
      <c r="B102" s="1">
        <v>1195.04</v>
      </c>
      <c r="C102" s="1">
        <v>3364.35</v>
      </c>
      <c r="D102">
        <v>752.85</v>
      </c>
      <c r="E102" s="1">
        <v>1495.17</v>
      </c>
      <c r="F102">
        <v>268.99</v>
      </c>
    </row>
    <row r="103" spans="1:6" x14ac:dyDescent="0.35">
      <c r="A103" s="2">
        <v>44713</v>
      </c>
      <c r="B103" s="1">
        <v>1195.42</v>
      </c>
      <c r="C103" s="1">
        <v>3355.2</v>
      </c>
      <c r="D103">
        <v>752.65</v>
      </c>
      <c r="E103" s="1">
        <v>1470.26</v>
      </c>
      <c r="F103">
        <v>270.18</v>
      </c>
    </row>
    <row r="104" spans="1:6" x14ac:dyDescent="0.35">
      <c r="A104" s="2">
        <v>44714</v>
      </c>
      <c r="B104" s="1">
        <v>1236.6400000000001</v>
      </c>
      <c r="C104" s="1">
        <v>3423</v>
      </c>
      <c r="D104">
        <v>749.75</v>
      </c>
      <c r="E104" s="1">
        <v>1499.55</v>
      </c>
      <c r="F104">
        <v>271.83</v>
      </c>
    </row>
    <row r="105" spans="1:6" x14ac:dyDescent="0.35">
      <c r="A105" s="2">
        <v>44715</v>
      </c>
      <c r="B105" s="1">
        <v>1261.7</v>
      </c>
      <c r="C105" s="1">
        <v>3440.15</v>
      </c>
      <c r="D105">
        <v>744.3</v>
      </c>
      <c r="E105" s="1">
        <v>1513.17</v>
      </c>
      <c r="F105">
        <v>271.02999999999997</v>
      </c>
    </row>
    <row r="106" spans="1:6" x14ac:dyDescent="0.35">
      <c r="A106" s="2">
        <v>44718</v>
      </c>
      <c r="B106" s="1">
        <v>1256.27</v>
      </c>
      <c r="C106" s="1">
        <v>3430.95</v>
      </c>
      <c r="D106">
        <v>746.75</v>
      </c>
      <c r="E106" s="1">
        <v>1521.48</v>
      </c>
      <c r="F106">
        <v>273.12</v>
      </c>
    </row>
    <row r="107" spans="1:6" x14ac:dyDescent="0.35">
      <c r="A107" s="2">
        <v>44719</v>
      </c>
      <c r="B107" s="1">
        <v>1258.6300000000001</v>
      </c>
      <c r="C107" s="1">
        <v>3362.7</v>
      </c>
      <c r="D107">
        <v>735.25</v>
      </c>
      <c r="E107" s="1">
        <v>1498.26</v>
      </c>
      <c r="F107">
        <v>272.22000000000003</v>
      </c>
    </row>
    <row r="108" spans="1:6" x14ac:dyDescent="0.35">
      <c r="A108" s="2">
        <v>44720</v>
      </c>
      <c r="B108" s="1">
        <v>1236.53</v>
      </c>
      <c r="C108" s="1">
        <v>3404.15</v>
      </c>
      <c r="D108">
        <v>729.5</v>
      </c>
      <c r="E108" s="1">
        <v>1491.59</v>
      </c>
      <c r="F108">
        <v>266.26</v>
      </c>
    </row>
    <row r="109" spans="1:6" x14ac:dyDescent="0.35">
      <c r="A109" s="2">
        <v>44721</v>
      </c>
      <c r="B109" s="1">
        <v>1270.44</v>
      </c>
      <c r="C109" s="1">
        <v>3427.1</v>
      </c>
      <c r="D109">
        <v>732.75</v>
      </c>
      <c r="E109" s="1">
        <v>1506.51</v>
      </c>
      <c r="F109">
        <v>269.19</v>
      </c>
    </row>
    <row r="110" spans="1:6" x14ac:dyDescent="0.35">
      <c r="A110" s="2">
        <v>44722</v>
      </c>
      <c r="B110" s="1">
        <v>1232.08</v>
      </c>
      <c r="C110" s="1">
        <v>3359.9</v>
      </c>
      <c r="D110">
        <v>720</v>
      </c>
      <c r="E110" s="1">
        <v>1468.52</v>
      </c>
      <c r="F110">
        <v>268.5</v>
      </c>
    </row>
    <row r="111" spans="1:6" x14ac:dyDescent="0.35">
      <c r="A111" s="2">
        <v>44725</v>
      </c>
      <c r="B111" s="1">
        <v>1208.77</v>
      </c>
      <c r="C111" s="1">
        <v>3219.6</v>
      </c>
      <c r="D111">
        <v>688</v>
      </c>
      <c r="E111" s="1">
        <v>1416.52</v>
      </c>
      <c r="F111">
        <v>263.02999999999997</v>
      </c>
    </row>
    <row r="112" spans="1:6" x14ac:dyDescent="0.35">
      <c r="A112" s="2">
        <v>44726</v>
      </c>
      <c r="B112" s="1">
        <v>1192.97</v>
      </c>
      <c r="C112" s="1">
        <v>3210.55</v>
      </c>
      <c r="D112">
        <v>685.5</v>
      </c>
      <c r="E112" s="1">
        <v>1432.48</v>
      </c>
      <c r="F112">
        <v>263.83</v>
      </c>
    </row>
    <row r="113" spans="1:6" x14ac:dyDescent="0.35">
      <c r="A113" s="2">
        <v>44727</v>
      </c>
      <c r="B113" s="1">
        <v>1178.54</v>
      </c>
      <c r="C113" s="1">
        <v>3206.3</v>
      </c>
      <c r="D113">
        <v>687.25</v>
      </c>
      <c r="E113" s="1">
        <v>1414.23</v>
      </c>
      <c r="F113">
        <v>261.79000000000002</v>
      </c>
    </row>
    <row r="114" spans="1:6" x14ac:dyDescent="0.35">
      <c r="A114" s="2">
        <v>44728</v>
      </c>
      <c r="B114" s="1">
        <v>1162.06</v>
      </c>
      <c r="C114" s="1">
        <v>3142</v>
      </c>
      <c r="D114">
        <v>678.5</v>
      </c>
      <c r="E114" s="1">
        <v>1389.37</v>
      </c>
      <c r="F114">
        <v>259.10000000000002</v>
      </c>
    </row>
    <row r="115" spans="1:6" x14ac:dyDescent="0.35">
      <c r="A115" s="2">
        <v>44729</v>
      </c>
      <c r="B115" s="1">
        <v>1175.68</v>
      </c>
      <c r="C115" s="1">
        <v>3088.9</v>
      </c>
      <c r="D115">
        <v>686.85</v>
      </c>
      <c r="E115" s="1">
        <v>1379.53</v>
      </c>
      <c r="F115">
        <v>261.69</v>
      </c>
    </row>
    <row r="116" spans="1:6" x14ac:dyDescent="0.35">
      <c r="A116" s="2">
        <v>44732</v>
      </c>
      <c r="B116" s="1">
        <v>1154.3699999999999</v>
      </c>
      <c r="C116" s="1">
        <v>3112.4</v>
      </c>
      <c r="D116">
        <v>685.95</v>
      </c>
      <c r="E116" s="1">
        <v>1406.22</v>
      </c>
      <c r="F116">
        <v>262.48</v>
      </c>
    </row>
    <row r="117" spans="1:6" x14ac:dyDescent="0.35">
      <c r="A117" s="2">
        <v>44733</v>
      </c>
      <c r="B117" s="1">
        <v>1173</v>
      </c>
      <c r="C117" s="1">
        <v>3133.66</v>
      </c>
      <c r="D117">
        <v>696.1</v>
      </c>
      <c r="E117" s="1">
        <v>1441.78</v>
      </c>
      <c r="F117">
        <v>268.25</v>
      </c>
    </row>
    <row r="118" spans="1:6" x14ac:dyDescent="0.35">
      <c r="A118" s="2">
        <v>44734</v>
      </c>
      <c r="B118" s="1">
        <v>1137.3699999999999</v>
      </c>
      <c r="C118" s="1">
        <v>3144.39</v>
      </c>
      <c r="D118">
        <v>686.6</v>
      </c>
      <c r="E118" s="1">
        <v>1429.2</v>
      </c>
      <c r="F118">
        <v>263.68</v>
      </c>
    </row>
    <row r="119" spans="1:6" x14ac:dyDescent="0.35">
      <c r="A119" s="2">
        <v>44735</v>
      </c>
      <c r="B119" s="1">
        <v>1118.9100000000001</v>
      </c>
      <c r="C119" s="1">
        <v>3228.15</v>
      </c>
      <c r="D119">
        <v>699.15</v>
      </c>
      <c r="E119" s="1">
        <v>1444.31</v>
      </c>
      <c r="F119">
        <v>263.87</v>
      </c>
    </row>
    <row r="120" spans="1:6" x14ac:dyDescent="0.35">
      <c r="A120" s="2">
        <v>44736</v>
      </c>
      <c r="B120" s="1">
        <v>1134.8499999999999</v>
      </c>
      <c r="C120" s="1">
        <v>3212.83</v>
      </c>
      <c r="D120">
        <v>713.45</v>
      </c>
      <c r="E120" s="1">
        <v>1433.02</v>
      </c>
      <c r="F120">
        <v>264.22000000000003</v>
      </c>
    </row>
    <row r="121" spans="1:6" x14ac:dyDescent="0.35">
      <c r="A121" s="2">
        <v>44739</v>
      </c>
      <c r="B121" s="1">
        <v>1131.49</v>
      </c>
      <c r="C121" s="1">
        <v>3233.91</v>
      </c>
      <c r="D121">
        <v>717.35</v>
      </c>
      <c r="E121" s="1">
        <v>1466.34</v>
      </c>
      <c r="F121">
        <v>268.3</v>
      </c>
    </row>
    <row r="122" spans="1:6" x14ac:dyDescent="0.35">
      <c r="A122" s="2">
        <v>44740</v>
      </c>
      <c r="B122" s="1">
        <v>1147.4000000000001</v>
      </c>
      <c r="C122" s="1">
        <v>3237.27</v>
      </c>
      <c r="D122">
        <v>710.3</v>
      </c>
      <c r="E122" s="1">
        <v>1471.85</v>
      </c>
      <c r="F122">
        <v>270.18</v>
      </c>
    </row>
    <row r="123" spans="1:6" x14ac:dyDescent="0.35">
      <c r="A123" s="2">
        <v>44741</v>
      </c>
      <c r="B123" s="1">
        <v>1171.21</v>
      </c>
      <c r="C123" s="1">
        <v>3210.3</v>
      </c>
      <c r="D123">
        <v>702.75</v>
      </c>
      <c r="E123" s="1">
        <v>1455.05</v>
      </c>
      <c r="F123">
        <v>272.37</v>
      </c>
    </row>
    <row r="124" spans="1:6" x14ac:dyDescent="0.35">
      <c r="A124" s="2">
        <v>44742</v>
      </c>
      <c r="B124" s="1">
        <v>1178.24</v>
      </c>
      <c r="C124" s="1">
        <v>3187.47</v>
      </c>
      <c r="D124">
        <v>707.2</v>
      </c>
      <c r="E124" s="1">
        <v>1453.71</v>
      </c>
      <c r="F124">
        <v>271.83</v>
      </c>
    </row>
    <row r="125" spans="1:6" x14ac:dyDescent="0.35">
      <c r="A125" s="2">
        <v>44743</v>
      </c>
      <c r="B125" s="1">
        <v>1093.3800000000001</v>
      </c>
      <c r="C125" s="1">
        <v>3234.3</v>
      </c>
      <c r="D125">
        <v>703.9</v>
      </c>
      <c r="E125" s="1">
        <v>1471.11</v>
      </c>
      <c r="F125">
        <v>282.61</v>
      </c>
    </row>
    <row r="126" spans="1:6" x14ac:dyDescent="0.35">
      <c r="A126" s="2">
        <v>44746</v>
      </c>
      <c r="B126" s="1">
        <v>1095.6500000000001</v>
      </c>
      <c r="C126" s="1">
        <v>3156.2</v>
      </c>
      <c r="D126">
        <v>720.1</v>
      </c>
      <c r="E126" s="1">
        <v>1479.66</v>
      </c>
      <c r="F126">
        <v>290.11</v>
      </c>
    </row>
    <row r="127" spans="1:6" x14ac:dyDescent="0.35">
      <c r="A127" s="2">
        <v>44747</v>
      </c>
      <c r="B127" s="1">
        <v>1104.52</v>
      </c>
      <c r="C127" s="1">
        <v>3137.91</v>
      </c>
      <c r="D127">
        <v>719.45</v>
      </c>
      <c r="E127" s="1">
        <v>1467.68</v>
      </c>
      <c r="F127">
        <v>285.14</v>
      </c>
    </row>
    <row r="128" spans="1:6" x14ac:dyDescent="0.35">
      <c r="A128" s="2">
        <v>44748</v>
      </c>
      <c r="B128" s="1">
        <v>1094.81</v>
      </c>
      <c r="C128" s="1">
        <v>3181.27</v>
      </c>
      <c r="D128">
        <v>725.95</v>
      </c>
      <c r="E128" s="1">
        <v>1483.29</v>
      </c>
      <c r="F128">
        <v>287.52999999999997</v>
      </c>
    </row>
    <row r="129" spans="1:6" x14ac:dyDescent="0.35">
      <c r="A129" s="2">
        <v>44749</v>
      </c>
      <c r="B129" s="1">
        <v>1084.03</v>
      </c>
      <c r="C129" s="1">
        <v>3207.71</v>
      </c>
      <c r="D129">
        <v>742</v>
      </c>
      <c r="E129" s="1">
        <v>1490.3</v>
      </c>
      <c r="F129">
        <v>290.16000000000003</v>
      </c>
    </row>
    <row r="130" spans="1:6" x14ac:dyDescent="0.35">
      <c r="A130" s="2">
        <v>44750</v>
      </c>
      <c r="B130" s="1">
        <v>1085.53</v>
      </c>
      <c r="C130" s="1">
        <v>3185.86</v>
      </c>
      <c r="D130">
        <v>755.7</v>
      </c>
      <c r="E130" s="1">
        <v>1505.96</v>
      </c>
      <c r="F130">
        <v>291.26</v>
      </c>
    </row>
    <row r="131" spans="1:6" x14ac:dyDescent="0.35">
      <c r="A131" s="2">
        <v>44753</v>
      </c>
      <c r="B131" s="1">
        <v>1100.28</v>
      </c>
      <c r="C131" s="1">
        <v>3037.9</v>
      </c>
      <c r="D131">
        <v>769.5</v>
      </c>
      <c r="E131" s="1">
        <v>1464.89</v>
      </c>
      <c r="F131">
        <v>293.19</v>
      </c>
    </row>
    <row r="132" spans="1:6" x14ac:dyDescent="0.35">
      <c r="A132" s="2">
        <v>44754</v>
      </c>
      <c r="B132" s="1">
        <v>1098.71</v>
      </c>
      <c r="C132" s="1">
        <v>3009.51</v>
      </c>
      <c r="D132">
        <v>759.9</v>
      </c>
      <c r="E132" s="1">
        <v>1430.54</v>
      </c>
      <c r="F132">
        <v>290.91000000000003</v>
      </c>
    </row>
    <row r="133" spans="1:6" x14ac:dyDescent="0.35">
      <c r="A133" s="2">
        <v>44755</v>
      </c>
      <c r="B133" s="1">
        <v>1079.24</v>
      </c>
      <c r="C133" s="1">
        <v>2964.68</v>
      </c>
      <c r="D133">
        <v>753.2</v>
      </c>
      <c r="E133" s="1">
        <v>1436.35</v>
      </c>
      <c r="F133">
        <v>292.25</v>
      </c>
    </row>
    <row r="134" spans="1:6" x14ac:dyDescent="0.35">
      <c r="A134" s="2">
        <v>44756</v>
      </c>
      <c r="B134" s="1">
        <v>1088.1400000000001</v>
      </c>
      <c r="C134" s="1">
        <v>2925.66</v>
      </c>
      <c r="D134">
        <v>752.4</v>
      </c>
      <c r="E134" s="1">
        <v>1420.84</v>
      </c>
      <c r="F134">
        <v>289.07</v>
      </c>
    </row>
    <row r="135" spans="1:6" x14ac:dyDescent="0.35">
      <c r="A135" s="2">
        <v>44757</v>
      </c>
      <c r="B135" s="1">
        <v>1090.25</v>
      </c>
      <c r="C135" s="1">
        <v>2921.61</v>
      </c>
      <c r="D135">
        <v>751.2</v>
      </c>
      <c r="E135" s="1">
        <v>1422.33</v>
      </c>
      <c r="F135">
        <v>291.75</v>
      </c>
    </row>
    <row r="136" spans="1:6" x14ac:dyDescent="0.35">
      <c r="A136" s="2">
        <v>44760</v>
      </c>
      <c r="B136" s="1">
        <v>1099.53</v>
      </c>
      <c r="C136" s="1">
        <v>2988.83</v>
      </c>
      <c r="D136">
        <v>772</v>
      </c>
      <c r="E136" s="1">
        <v>1481.55</v>
      </c>
      <c r="F136">
        <v>293.49</v>
      </c>
    </row>
    <row r="137" spans="1:6" x14ac:dyDescent="0.35">
      <c r="A137" s="2">
        <v>44761</v>
      </c>
      <c r="B137" s="1">
        <v>1106.27</v>
      </c>
      <c r="C137" s="1">
        <v>2999.32</v>
      </c>
      <c r="D137">
        <v>780.65</v>
      </c>
      <c r="E137" s="1">
        <v>1475.83</v>
      </c>
      <c r="F137">
        <v>292.8</v>
      </c>
    </row>
    <row r="138" spans="1:6" x14ac:dyDescent="0.35">
      <c r="A138" s="2">
        <v>44762</v>
      </c>
      <c r="B138" s="1">
        <v>1136.19</v>
      </c>
      <c r="C138" s="1">
        <v>3087.66</v>
      </c>
      <c r="D138">
        <v>783.1</v>
      </c>
      <c r="E138" s="1">
        <v>1506.81</v>
      </c>
      <c r="F138">
        <v>296.37</v>
      </c>
    </row>
    <row r="139" spans="1:6" x14ac:dyDescent="0.35">
      <c r="A139" s="2">
        <v>44763</v>
      </c>
      <c r="B139" s="1">
        <v>1128.5999999999999</v>
      </c>
      <c r="C139" s="1">
        <v>3099.85</v>
      </c>
      <c r="D139">
        <v>786</v>
      </c>
      <c r="E139" s="1">
        <v>1524.31</v>
      </c>
      <c r="F139">
        <v>297.72000000000003</v>
      </c>
    </row>
    <row r="140" spans="1:6" x14ac:dyDescent="0.35">
      <c r="A140" s="2">
        <v>44764</v>
      </c>
      <c r="B140" s="1">
        <v>1136.23</v>
      </c>
      <c r="C140" s="1">
        <v>3093.71</v>
      </c>
      <c r="D140">
        <v>800.05</v>
      </c>
      <c r="E140" s="1">
        <v>1497.86</v>
      </c>
      <c r="F140">
        <v>298.70999999999998</v>
      </c>
    </row>
    <row r="141" spans="1:6" x14ac:dyDescent="0.35">
      <c r="A141" s="2">
        <v>44767</v>
      </c>
      <c r="B141" s="1">
        <v>1098.69</v>
      </c>
      <c r="C141" s="1">
        <v>3089.56</v>
      </c>
      <c r="D141">
        <v>800.9</v>
      </c>
      <c r="E141" s="1">
        <v>1495.17</v>
      </c>
      <c r="F141">
        <v>299.26</v>
      </c>
    </row>
    <row r="142" spans="1:6" x14ac:dyDescent="0.35">
      <c r="A142" s="2">
        <v>44768</v>
      </c>
      <c r="B142" s="1">
        <v>1099.19</v>
      </c>
      <c r="C142" s="1">
        <v>3039.95</v>
      </c>
      <c r="D142">
        <v>796.3</v>
      </c>
      <c r="E142" s="1">
        <v>1443.02</v>
      </c>
      <c r="F142">
        <v>300.60000000000002</v>
      </c>
    </row>
    <row r="143" spans="1:6" x14ac:dyDescent="0.35">
      <c r="A143" s="2">
        <v>44769</v>
      </c>
      <c r="B143" s="1">
        <v>1098.1500000000001</v>
      </c>
      <c r="C143" s="1">
        <v>3111.12</v>
      </c>
      <c r="D143">
        <v>800.5</v>
      </c>
      <c r="E143" s="1">
        <v>1462.81</v>
      </c>
      <c r="F143">
        <v>302.29000000000002</v>
      </c>
    </row>
    <row r="144" spans="1:6" x14ac:dyDescent="0.35">
      <c r="A144" s="2">
        <v>44770</v>
      </c>
      <c r="B144" s="1">
        <v>1115.3499999999999</v>
      </c>
      <c r="C144" s="1">
        <v>3181.03</v>
      </c>
      <c r="D144">
        <v>814.6</v>
      </c>
      <c r="E144" s="1">
        <v>1508.9</v>
      </c>
      <c r="F144">
        <v>301.58999999999997</v>
      </c>
    </row>
    <row r="145" spans="1:6" x14ac:dyDescent="0.35">
      <c r="A145" s="2">
        <v>44771</v>
      </c>
      <c r="B145" s="1">
        <v>1139.1099999999999</v>
      </c>
      <c r="C145" s="1">
        <v>3221.42</v>
      </c>
      <c r="D145">
        <v>818.6</v>
      </c>
      <c r="E145" s="1">
        <v>1541.02</v>
      </c>
      <c r="F145">
        <v>301.19</v>
      </c>
    </row>
    <row r="146" spans="1:6" x14ac:dyDescent="0.35">
      <c r="A146" s="2">
        <v>44774</v>
      </c>
      <c r="B146" s="1">
        <v>1168.8</v>
      </c>
      <c r="C146" s="1">
        <v>3218.39</v>
      </c>
      <c r="D146">
        <v>823.4</v>
      </c>
      <c r="E146" s="1">
        <v>1542.36</v>
      </c>
      <c r="F146">
        <v>305.62</v>
      </c>
    </row>
    <row r="147" spans="1:6" x14ac:dyDescent="0.35">
      <c r="A147" s="2">
        <v>44775</v>
      </c>
      <c r="B147" s="1">
        <v>1173.25</v>
      </c>
      <c r="C147" s="1">
        <v>3211.56</v>
      </c>
      <c r="D147">
        <v>817.75</v>
      </c>
      <c r="E147" s="1">
        <v>1534.95</v>
      </c>
      <c r="F147">
        <v>308.05</v>
      </c>
    </row>
    <row r="148" spans="1:6" x14ac:dyDescent="0.35">
      <c r="A148" s="2">
        <v>44776</v>
      </c>
      <c r="B148" s="1">
        <v>1183.0999999999999</v>
      </c>
      <c r="C148" s="1">
        <v>3258.1</v>
      </c>
      <c r="D148">
        <v>824.8</v>
      </c>
      <c r="E148" s="1">
        <v>1557.32</v>
      </c>
      <c r="F148">
        <v>306.26</v>
      </c>
    </row>
    <row r="149" spans="1:6" x14ac:dyDescent="0.35">
      <c r="A149" s="2">
        <v>44777</v>
      </c>
      <c r="B149" s="1">
        <v>1167.46</v>
      </c>
      <c r="C149" s="1">
        <v>3273.18</v>
      </c>
      <c r="D149">
        <v>820.25</v>
      </c>
      <c r="E149" s="1">
        <v>1590.93</v>
      </c>
      <c r="F149">
        <v>307.61</v>
      </c>
    </row>
    <row r="150" spans="1:6" x14ac:dyDescent="0.35">
      <c r="A150" s="2">
        <v>44778</v>
      </c>
      <c r="B150" s="1">
        <v>1150.26</v>
      </c>
      <c r="C150" s="1">
        <v>3283.03</v>
      </c>
      <c r="D150">
        <v>838.2</v>
      </c>
      <c r="E150" s="1">
        <v>1607.59</v>
      </c>
      <c r="F150">
        <v>308.95</v>
      </c>
    </row>
    <row r="151" spans="1:6" x14ac:dyDescent="0.35">
      <c r="A151" s="2">
        <v>44781</v>
      </c>
      <c r="B151" s="1">
        <v>1165.31</v>
      </c>
      <c r="C151" s="1">
        <v>3292.2</v>
      </c>
      <c r="D151">
        <v>836.95</v>
      </c>
      <c r="E151" s="1">
        <v>1610.32</v>
      </c>
      <c r="F151">
        <v>311.23</v>
      </c>
    </row>
    <row r="152" spans="1:6" x14ac:dyDescent="0.35">
      <c r="A152" s="2">
        <v>44783</v>
      </c>
      <c r="B152" s="1">
        <v>1172.27</v>
      </c>
      <c r="C152" s="1">
        <v>3272.49</v>
      </c>
      <c r="D152">
        <v>848.75</v>
      </c>
      <c r="E152" s="1">
        <v>1593.47</v>
      </c>
      <c r="F152">
        <v>309.3</v>
      </c>
    </row>
    <row r="153" spans="1:6" x14ac:dyDescent="0.35">
      <c r="A153" s="2">
        <v>44784</v>
      </c>
      <c r="B153" s="1">
        <v>1176.18</v>
      </c>
      <c r="C153" s="1">
        <v>3339.08</v>
      </c>
      <c r="D153">
        <v>859.7</v>
      </c>
      <c r="E153" s="1">
        <v>1610.87</v>
      </c>
      <c r="F153">
        <v>304.38</v>
      </c>
    </row>
    <row r="154" spans="1:6" x14ac:dyDescent="0.35">
      <c r="A154" s="2">
        <v>44785</v>
      </c>
      <c r="B154" s="1">
        <v>1195.2</v>
      </c>
      <c r="C154" s="1">
        <v>3318.64</v>
      </c>
      <c r="D154">
        <v>874.4</v>
      </c>
      <c r="E154" s="1">
        <v>1585.17</v>
      </c>
      <c r="F154">
        <v>306.66000000000003</v>
      </c>
    </row>
    <row r="155" spans="1:6" x14ac:dyDescent="0.35">
      <c r="A155" s="2">
        <v>44789</v>
      </c>
      <c r="B155" s="1">
        <v>1203.5</v>
      </c>
      <c r="C155" s="1">
        <v>3310</v>
      </c>
      <c r="D155">
        <v>879.25</v>
      </c>
      <c r="E155" s="1">
        <v>1587.5</v>
      </c>
      <c r="F155">
        <v>308.64999999999998</v>
      </c>
    </row>
    <row r="156" spans="1:6" x14ac:dyDescent="0.35">
      <c r="A156" s="2">
        <v>44790</v>
      </c>
      <c r="B156" s="1">
        <v>1209.79</v>
      </c>
      <c r="C156" s="1">
        <v>3318.2</v>
      </c>
      <c r="D156">
        <v>883.25</v>
      </c>
      <c r="E156" s="1">
        <v>1597.25</v>
      </c>
      <c r="F156">
        <v>310.64</v>
      </c>
    </row>
    <row r="157" spans="1:6" x14ac:dyDescent="0.35">
      <c r="A157" s="2">
        <v>44791</v>
      </c>
      <c r="B157" s="1">
        <v>1208.04</v>
      </c>
      <c r="C157" s="1">
        <v>3298.83</v>
      </c>
      <c r="D157">
        <v>885.1</v>
      </c>
      <c r="E157" s="1">
        <v>1574.08</v>
      </c>
      <c r="F157">
        <v>313.72000000000003</v>
      </c>
    </row>
    <row r="158" spans="1:6" x14ac:dyDescent="0.35">
      <c r="A158" s="2">
        <v>44792</v>
      </c>
      <c r="B158" s="1">
        <v>1186.5</v>
      </c>
      <c r="C158" s="1">
        <v>3303.22</v>
      </c>
      <c r="D158">
        <v>870.4</v>
      </c>
      <c r="E158" s="1">
        <v>1588.15</v>
      </c>
      <c r="F158">
        <v>310.08999999999997</v>
      </c>
    </row>
    <row r="159" spans="1:6" x14ac:dyDescent="0.35">
      <c r="A159" s="2">
        <v>44795</v>
      </c>
      <c r="B159" s="1">
        <v>1183.21</v>
      </c>
      <c r="C159" s="1">
        <v>3272.78</v>
      </c>
      <c r="D159">
        <v>852.25</v>
      </c>
      <c r="E159" s="1">
        <v>1566.82</v>
      </c>
      <c r="F159">
        <v>312.48</v>
      </c>
    </row>
    <row r="160" spans="1:6" x14ac:dyDescent="0.35">
      <c r="A160" s="2">
        <v>44796</v>
      </c>
      <c r="B160" s="1">
        <v>1201.46</v>
      </c>
      <c r="C160" s="1">
        <v>3204.54</v>
      </c>
      <c r="D160">
        <v>863.9</v>
      </c>
      <c r="E160" s="1">
        <v>1533.76</v>
      </c>
      <c r="F160">
        <v>313.97000000000003</v>
      </c>
    </row>
    <row r="161" spans="1:6" x14ac:dyDescent="0.35">
      <c r="A161" s="2">
        <v>44797</v>
      </c>
      <c r="B161" s="1">
        <v>1198.26</v>
      </c>
      <c r="C161" s="1">
        <v>3176</v>
      </c>
      <c r="D161">
        <v>873.3</v>
      </c>
      <c r="E161" s="1">
        <v>1528.88</v>
      </c>
      <c r="F161">
        <v>312.18</v>
      </c>
    </row>
    <row r="162" spans="1:6" x14ac:dyDescent="0.35">
      <c r="A162" s="2">
        <v>44798</v>
      </c>
      <c r="B162" s="1">
        <v>1194.77</v>
      </c>
      <c r="C162" s="1">
        <v>3139.76</v>
      </c>
      <c r="D162">
        <v>872.35</v>
      </c>
      <c r="E162" s="1">
        <v>1509.64</v>
      </c>
      <c r="F162">
        <v>310.44</v>
      </c>
    </row>
    <row r="163" spans="1:6" x14ac:dyDescent="0.35">
      <c r="A163" s="2">
        <v>44799</v>
      </c>
      <c r="B163" s="1">
        <v>1188.3900000000001</v>
      </c>
      <c r="C163" s="1">
        <v>3143.66</v>
      </c>
      <c r="D163">
        <v>870.85</v>
      </c>
      <c r="E163" s="1">
        <v>1513.02</v>
      </c>
      <c r="F163">
        <v>310.98</v>
      </c>
    </row>
    <row r="164" spans="1:6" x14ac:dyDescent="0.35">
      <c r="A164" s="2">
        <v>44802</v>
      </c>
      <c r="B164" s="1">
        <v>1179.1500000000001</v>
      </c>
      <c r="C164" s="1">
        <v>3056.2</v>
      </c>
      <c r="D164">
        <v>855.85</v>
      </c>
      <c r="E164" s="1">
        <v>1453.56</v>
      </c>
      <c r="F164">
        <v>311.63</v>
      </c>
    </row>
    <row r="165" spans="1:6" x14ac:dyDescent="0.35">
      <c r="A165" s="2">
        <v>44803</v>
      </c>
      <c r="B165" s="1">
        <v>1197.44</v>
      </c>
      <c r="C165" s="1">
        <v>3132.88</v>
      </c>
      <c r="D165">
        <v>887.3</v>
      </c>
      <c r="E165" s="1">
        <v>1484.58</v>
      </c>
      <c r="F165">
        <v>318.54000000000002</v>
      </c>
    </row>
    <row r="166" spans="1:6" x14ac:dyDescent="0.35">
      <c r="A166" s="2">
        <v>44805</v>
      </c>
      <c r="B166" s="1">
        <v>1162.24</v>
      </c>
      <c r="C166" s="1">
        <v>3055.37</v>
      </c>
      <c r="D166">
        <v>874.35</v>
      </c>
      <c r="E166" s="1">
        <v>1455.99</v>
      </c>
      <c r="F166">
        <v>315.64999999999998</v>
      </c>
    </row>
    <row r="167" spans="1:6" x14ac:dyDescent="0.35">
      <c r="A167" s="2">
        <v>44806</v>
      </c>
      <c r="B167" s="1">
        <v>1148.67</v>
      </c>
      <c r="C167" s="1">
        <v>3054.1</v>
      </c>
      <c r="D167">
        <v>872.4</v>
      </c>
      <c r="E167" s="1">
        <v>1444.86</v>
      </c>
      <c r="F167">
        <v>321.17</v>
      </c>
    </row>
    <row r="168" spans="1:6" x14ac:dyDescent="0.35">
      <c r="A168" s="2">
        <v>44809</v>
      </c>
      <c r="B168" s="1">
        <v>1166.51</v>
      </c>
      <c r="C168" s="1">
        <v>3057.02</v>
      </c>
      <c r="D168">
        <v>882.45</v>
      </c>
      <c r="E168" s="1">
        <v>1453.11</v>
      </c>
      <c r="F168">
        <v>326.83999999999997</v>
      </c>
    </row>
    <row r="169" spans="1:6" x14ac:dyDescent="0.35">
      <c r="A169" s="2">
        <v>44810</v>
      </c>
      <c r="B169" s="1">
        <v>1178.79</v>
      </c>
      <c r="C169" s="1">
        <v>3050.83</v>
      </c>
      <c r="D169">
        <v>883.65</v>
      </c>
      <c r="E169" s="1">
        <v>1446.95</v>
      </c>
      <c r="F169">
        <v>325.14999999999998</v>
      </c>
    </row>
    <row r="170" spans="1:6" x14ac:dyDescent="0.35">
      <c r="A170" s="2">
        <v>44811</v>
      </c>
      <c r="B170" s="1">
        <v>1171.93</v>
      </c>
      <c r="C170" s="1">
        <v>3072.83</v>
      </c>
      <c r="D170">
        <v>876.2</v>
      </c>
      <c r="E170" s="1">
        <v>1449.48</v>
      </c>
      <c r="F170">
        <v>324.10000000000002</v>
      </c>
    </row>
    <row r="171" spans="1:6" x14ac:dyDescent="0.35">
      <c r="A171" s="2">
        <v>44812</v>
      </c>
      <c r="B171" s="1">
        <v>1173.5899999999999</v>
      </c>
      <c r="C171" s="1">
        <v>3092.39</v>
      </c>
      <c r="D171">
        <v>898.8</v>
      </c>
      <c r="E171" s="1">
        <v>1467.63</v>
      </c>
      <c r="F171">
        <v>327.88</v>
      </c>
    </row>
    <row r="172" spans="1:6" x14ac:dyDescent="0.35">
      <c r="A172" s="2">
        <v>44813</v>
      </c>
      <c r="B172" s="1">
        <v>1166.28</v>
      </c>
      <c r="C172" s="1">
        <v>3139.22</v>
      </c>
      <c r="D172">
        <v>901.25</v>
      </c>
      <c r="E172" s="1">
        <v>1503.18</v>
      </c>
      <c r="F172">
        <v>328.48</v>
      </c>
    </row>
    <row r="173" spans="1:6" x14ac:dyDescent="0.35">
      <c r="A173" s="2">
        <v>44816</v>
      </c>
      <c r="B173" s="1">
        <v>1179.33</v>
      </c>
      <c r="C173" s="1">
        <v>3163.91</v>
      </c>
      <c r="D173">
        <v>907.2</v>
      </c>
      <c r="E173" s="1">
        <v>1527.59</v>
      </c>
      <c r="F173">
        <v>328.87</v>
      </c>
    </row>
    <row r="174" spans="1:6" x14ac:dyDescent="0.35">
      <c r="A174" s="2">
        <v>44817</v>
      </c>
      <c r="B174" s="1">
        <v>1189.18</v>
      </c>
      <c r="C174" s="1">
        <v>3150.64</v>
      </c>
      <c r="D174">
        <v>910</v>
      </c>
      <c r="E174" s="1">
        <v>1536.29</v>
      </c>
      <c r="F174">
        <v>332.35</v>
      </c>
    </row>
    <row r="175" spans="1:6" x14ac:dyDescent="0.35">
      <c r="A175" s="2">
        <v>44818</v>
      </c>
      <c r="B175" s="1">
        <v>1174.93</v>
      </c>
      <c r="C175" s="1">
        <v>3044.34</v>
      </c>
      <c r="D175">
        <v>918.1</v>
      </c>
      <c r="E175" s="1">
        <v>1467.13</v>
      </c>
      <c r="F175">
        <v>333.3</v>
      </c>
    </row>
    <row r="176" spans="1:6" x14ac:dyDescent="0.35">
      <c r="A176" s="2">
        <v>44819</v>
      </c>
      <c r="B176" s="1">
        <v>1163.29</v>
      </c>
      <c r="C176" s="1">
        <v>3028.68</v>
      </c>
      <c r="D176">
        <v>917.6</v>
      </c>
      <c r="E176" s="1">
        <v>1424.77</v>
      </c>
      <c r="F176">
        <v>332.05</v>
      </c>
    </row>
    <row r="177" spans="1:6" x14ac:dyDescent="0.35">
      <c r="A177" s="2">
        <v>44820</v>
      </c>
      <c r="B177" s="1">
        <v>1134.46</v>
      </c>
      <c r="C177" s="1">
        <v>2935.36</v>
      </c>
      <c r="D177">
        <v>909.1</v>
      </c>
      <c r="E177" s="1">
        <v>1369.33</v>
      </c>
      <c r="F177">
        <v>329.27</v>
      </c>
    </row>
    <row r="178" spans="1:6" x14ac:dyDescent="0.35">
      <c r="A178" s="2">
        <v>44823</v>
      </c>
      <c r="B178" s="1">
        <v>1135.94</v>
      </c>
      <c r="C178" s="1">
        <v>2954.98</v>
      </c>
      <c r="D178">
        <v>899.2</v>
      </c>
      <c r="E178" s="1">
        <v>1382.51</v>
      </c>
      <c r="F178">
        <v>333.55</v>
      </c>
    </row>
    <row r="179" spans="1:6" x14ac:dyDescent="0.35">
      <c r="A179" s="2">
        <v>44824</v>
      </c>
      <c r="B179" s="1">
        <v>1136.1199999999999</v>
      </c>
      <c r="C179" s="1">
        <v>2966.19</v>
      </c>
      <c r="D179">
        <v>916.75</v>
      </c>
      <c r="E179" s="1">
        <v>1380.77</v>
      </c>
      <c r="F179">
        <v>333.94</v>
      </c>
    </row>
    <row r="180" spans="1:6" x14ac:dyDescent="0.35">
      <c r="A180" s="2">
        <v>44825</v>
      </c>
      <c r="B180" s="1">
        <v>1139.25</v>
      </c>
      <c r="C180" s="1">
        <v>2928.05</v>
      </c>
      <c r="D180">
        <v>915.25</v>
      </c>
      <c r="E180" s="1">
        <v>1369.53</v>
      </c>
      <c r="F180">
        <v>338.86</v>
      </c>
    </row>
    <row r="181" spans="1:6" x14ac:dyDescent="0.35">
      <c r="A181" s="2">
        <v>44826</v>
      </c>
      <c r="B181" s="1">
        <v>1128.51</v>
      </c>
      <c r="C181" s="1">
        <v>2934.1</v>
      </c>
      <c r="D181">
        <v>903.4</v>
      </c>
      <c r="E181" s="1">
        <v>1360.28</v>
      </c>
      <c r="F181">
        <v>342.94</v>
      </c>
    </row>
    <row r="182" spans="1:6" x14ac:dyDescent="0.35">
      <c r="A182" s="2">
        <v>44827</v>
      </c>
      <c r="B182" s="1">
        <v>1107.3599999999999</v>
      </c>
      <c r="C182" s="1">
        <v>2909.36</v>
      </c>
      <c r="D182">
        <v>882.25</v>
      </c>
      <c r="E182" s="1">
        <v>1357.8</v>
      </c>
      <c r="F182">
        <v>344.28</v>
      </c>
    </row>
    <row r="183" spans="1:6" x14ac:dyDescent="0.35">
      <c r="A183" s="2">
        <v>44830</v>
      </c>
      <c r="B183" s="1">
        <v>1079.1500000000001</v>
      </c>
      <c r="C183" s="1">
        <v>2921.41</v>
      </c>
      <c r="D183">
        <v>861.05</v>
      </c>
      <c r="E183" s="1">
        <v>1372.52</v>
      </c>
      <c r="F183">
        <v>330.56</v>
      </c>
    </row>
    <row r="184" spans="1:6" x14ac:dyDescent="0.35">
      <c r="A184" s="2">
        <v>44831</v>
      </c>
      <c r="B184" s="1">
        <v>1087.73</v>
      </c>
      <c r="C184" s="1">
        <v>2943.9</v>
      </c>
      <c r="D184">
        <v>852.55</v>
      </c>
      <c r="E184" s="1">
        <v>1385.74</v>
      </c>
      <c r="F184">
        <v>332.8</v>
      </c>
    </row>
    <row r="185" spans="1:6" x14ac:dyDescent="0.35">
      <c r="A185" s="2">
        <v>44832</v>
      </c>
      <c r="B185" s="1">
        <v>1058.77</v>
      </c>
      <c r="C185" s="1">
        <v>2961.66</v>
      </c>
      <c r="D185">
        <v>849.5</v>
      </c>
      <c r="E185" s="1">
        <v>1386.88</v>
      </c>
      <c r="F185">
        <v>322.95999999999998</v>
      </c>
    </row>
    <row r="186" spans="1:6" x14ac:dyDescent="0.35">
      <c r="A186" s="2">
        <v>44833</v>
      </c>
      <c r="B186" s="1">
        <v>1055.52</v>
      </c>
      <c r="C186" s="1">
        <v>2924.24</v>
      </c>
      <c r="D186">
        <v>843.9</v>
      </c>
      <c r="E186" s="1">
        <v>1390.81</v>
      </c>
      <c r="F186">
        <v>331.01</v>
      </c>
    </row>
    <row r="187" spans="1:6" x14ac:dyDescent="0.35">
      <c r="A187" s="2">
        <v>44834</v>
      </c>
      <c r="B187" s="1">
        <v>1079.33</v>
      </c>
      <c r="C187" s="1">
        <v>2931.32</v>
      </c>
      <c r="D187">
        <v>862</v>
      </c>
      <c r="E187" s="1">
        <v>1405.53</v>
      </c>
      <c r="F187">
        <v>330.17</v>
      </c>
    </row>
    <row r="188" spans="1:6" x14ac:dyDescent="0.35">
      <c r="A188" s="2">
        <v>44837</v>
      </c>
      <c r="B188" s="1">
        <v>1075.5899999999999</v>
      </c>
      <c r="C188" s="1">
        <v>2912.19</v>
      </c>
      <c r="D188">
        <v>848.35</v>
      </c>
      <c r="E188" s="1">
        <v>1385.94</v>
      </c>
      <c r="F188">
        <v>322.41000000000003</v>
      </c>
    </row>
    <row r="189" spans="1:6" x14ac:dyDescent="0.35">
      <c r="A189" s="2">
        <v>44838</v>
      </c>
      <c r="B189" s="1">
        <v>1095.42</v>
      </c>
      <c r="C189" s="1">
        <v>3015.8</v>
      </c>
      <c r="D189">
        <v>867.65</v>
      </c>
      <c r="E189" s="1">
        <v>1421.39</v>
      </c>
      <c r="F189">
        <v>330.81</v>
      </c>
    </row>
    <row r="190" spans="1:6" x14ac:dyDescent="0.35">
      <c r="A190" s="2">
        <v>44840</v>
      </c>
      <c r="B190" s="1">
        <v>1099.46</v>
      </c>
      <c r="C190" s="1">
        <v>3026.34</v>
      </c>
      <c r="D190">
        <v>885.45</v>
      </c>
      <c r="E190" s="1">
        <v>1446.99</v>
      </c>
      <c r="F190">
        <v>334.59</v>
      </c>
    </row>
    <row r="191" spans="1:6" x14ac:dyDescent="0.35">
      <c r="A191" s="2">
        <v>44841</v>
      </c>
      <c r="B191" s="1">
        <v>1104.1199999999999</v>
      </c>
      <c r="C191" s="1">
        <v>2990.2</v>
      </c>
      <c r="D191">
        <v>882.55</v>
      </c>
      <c r="E191" s="1">
        <v>1443.07</v>
      </c>
      <c r="F191">
        <v>332.05</v>
      </c>
    </row>
    <row r="192" spans="1:6" x14ac:dyDescent="0.35">
      <c r="A192" s="2">
        <v>44844</v>
      </c>
      <c r="B192" s="1">
        <v>1092.06</v>
      </c>
      <c r="C192" s="1">
        <v>3042.54</v>
      </c>
      <c r="D192">
        <v>881.75</v>
      </c>
      <c r="E192" s="1">
        <v>1454.45</v>
      </c>
      <c r="F192">
        <v>325.83999999999997</v>
      </c>
    </row>
    <row r="193" spans="1:6" x14ac:dyDescent="0.35">
      <c r="A193" s="2">
        <v>44845</v>
      </c>
      <c r="B193" s="1">
        <v>1070.32</v>
      </c>
      <c r="C193" s="1">
        <v>2994.73</v>
      </c>
      <c r="D193">
        <v>870.6</v>
      </c>
      <c r="E193" s="1">
        <v>1415.82</v>
      </c>
      <c r="F193">
        <v>324.3</v>
      </c>
    </row>
    <row r="194" spans="1:6" x14ac:dyDescent="0.35">
      <c r="A194" s="2">
        <v>44846</v>
      </c>
      <c r="B194" s="1">
        <v>1078.2</v>
      </c>
      <c r="C194" s="1">
        <v>3025.17</v>
      </c>
      <c r="D194">
        <v>868.35</v>
      </c>
      <c r="E194" s="1">
        <v>1420.69</v>
      </c>
      <c r="F194">
        <v>328.08</v>
      </c>
    </row>
    <row r="195" spans="1:6" x14ac:dyDescent="0.35">
      <c r="A195" s="2">
        <v>44847</v>
      </c>
      <c r="B195" s="1">
        <v>1081.6199999999999</v>
      </c>
      <c r="C195" s="1">
        <v>3027.66</v>
      </c>
      <c r="D195">
        <v>853.6</v>
      </c>
      <c r="E195" s="1">
        <v>1411.94</v>
      </c>
      <c r="F195">
        <v>326.64</v>
      </c>
    </row>
    <row r="196" spans="1:6" x14ac:dyDescent="0.35">
      <c r="A196" s="2">
        <v>44848</v>
      </c>
      <c r="B196" s="1">
        <v>1076.1300000000001</v>
      </c>
      <c r="C196" s="1">
        <v>3023.61</v>
      </c>
      <c r="D196">
        <v>870.25</v>
      </c>
      <c r="E196" s="1">
        <v>1465.99</v>
      </c>
      <c r="F196">
        <v>330.07</v>
      </c>
    </row>
    <row r="197" spans="1:6" x14ac:dyDescent="0.35">
      <c r="A197" s="2">
        <v>44851</v>
      </c>
      <c r="B197" s="1">
        <v>1093.4000000000001</v>
      </c>
      <c r="C197" s="1">
        <v>3035.9</v>
      </c>
      <c r="D197">
        <v>885.2</v>
      </c>
      <c r="E197" s="1">
        <v>1481.6</v>
      </c>
      <c r="F197">
        <v>330.22</v>
      </c>
    </row>
    <row r="198" spans="1:6" x14ac:dyDescent="0.35">
      <c r="A198" s="2">
        <v>44852</v>
      </c>
      <c r="B198" s="1">
        <v>1112.69</v>
      </c>
      <c r="C198" s="1">
        <v>3068.05</v>
      </c>
      <c r="D198">
        <v>896.9</v>
      </c>
      <c r="E198" s="1">
        <v>1495.27</v>
      </c>
      <c r="F198">
        <v>338.22</v>
      </c>
    </row>
    <row r="199" spans="1:6" x14ac:dyDescent="0.35">
      <c r="A199" s="2">
        <v>44853</v>
      </c>
      <c r="B199" s="1">
        <v>1132.05</v>
      </c>
      <c r="C199" s="1">
        <v>3045.76</v>
      </c>
      <c r="D199">
        <v>892.1</v>
      </c>
      <c r="E199" s="1">
        <v>1477.13</v>
      </c>
      <c r="F199">
        <v>344.23</v>
      </c>
    </row>
    <row r="200" spans="1:6" x14ac:dyDescent="0.35">
      <c r="A200" s="2">
        <v>44854</v>
      </c>
      <c r="B200" s="1">
        <v>1135.0999999999999</v>
      </c>
      <c r="C200" s="1">
        <v>3080.34</v>
      </c>
      <c r="D200">
        <v>888.65</v>
      </c>
      <c r="E200" s="1">
        <v>1492.49</v>
      </c>
      <c r="F200">
        <v>347.56</v>
      </c>
    </row>
    <row r="201" spans="1:6" x14ac:dyDescent="0.35">
      <c r="A201" s="2">
        <v>44855</v>
      </c>
      <c r="B201" s="1">
        <v>1121.93</v>
      </c>
      <c r="C201" s="1">
        <v>3060.93</v>
      </c>
      <c r="D201">
        <v>907.15</v>
      </c>
      <c r="E201" s="1">
        <v>1492.09</v>
      </c>
      <c r="F201">
        <v>343.48</v>
      </c>
    </row>
    <row r="202" spans="1:6" x14ac:dyDescent="0.35">
      <c r="A202" s="2">
        <v>44858</v>
      </c>
      <c r="B202" s="1">
        <v>1125.68</v>
      </c>
      <c r="C202" s="1">
        <v>3084.64</v>
      </c>
      <c r="D202">
        <v>926.3</v>
      </c>
      <c r="E202" s="1">
        <v>1509.34</v>
      </c>
      <c r="F202">
        <v>345.57</v>
      </c>
    </row>
    <row r="203" spans="1:6" x14ac:dyDescent="0.35">
      <c r="A203" s="2">
        <v>44859</v>
      </c>
      <c r="B203" s="1">
        <v>1108.29</v>
      </c>
      <c r="C203" s="1">
        <v>3085.03</v>
      </c>
      <c r="D203">
        <v>925.05</v>
      </c>
      <c r="E203" s="1">
        <v>1517.75</v>
      </c>
      <c r="F203">
        <v>344.18</v>
      </c>
    </row>
    <row r="204" spans="1:6" x14ac:dyDescent="0.35">
      <c r="A204" s="2">
        <v>44861</v>
      </c>
      <c r="B204" s="1">
        <v>1112.6500000000001</v>
      </c>
      <c r="C204" s="1">
        <v>3080.44</v>
      </c>
      <c r="D204">
        <v>924.4</v>
      </c>
      <c r="E204" s="1">
        <v>1515.41</v>
      </c>
      <c r="F204">
        <v>343.68</v>
      </c>
    </row>
    <row r="205" spans="1:6" x14ac:dyDescent="0.35">
      <c r="A205" s="2">
        <v>44862</v>
      </c>
      <c r="B205" s="1">
        <v>1146.69</v>
      </c>
      <c r="C205" s="1">
        <v>3086.15</v>
      </c>
      <c r="D205">
        <v>907.85</v>
      </c>
      <c r="E205" s="1">
        <v>1504.77</v>
      </c>
      <c r="F205">
        <v>343.68</v>
      </c>
    </row>
    <row r="206" spans="1:6" x14ac:dyDescent="0.35">
      <c r="A206" s="2">
        <v>44865</v>
      </c>
      <c r="B206" s="1">
        <v>1157.3399999999999</v>
      </c>
      <c r="C206" s="1">
        <v>3115.32</v>
      </c>
      <c r="D206">
        <v>908.7</v>
      </c>
      <c r="E206" s="1">
        <v>1529.03</v>
      </c>
      <c r="F206">
        <v>346.57</v>
      </c>
    </row>
    <row r="207" spans="1:6" x14ac:dyDescent="0.35">
      <c r="A207" s="2">
        <v>44866</v>
      </c>
      <c r="B207" s="1">
        <v>1148.3699999999999</v>
      </c>
      <c r="C207" s="1">
        <v>3180.25</v>
      </c>
      <c r="D207">
        <v>908.6</v>
      </c>
      <c r="E207" s="1">
        <v>1564.19</v>
      </c>
      <c r="F207">
        <v>347.36</v>
      </c>
    </row>
    <row r="208" spans="1:6" x14ac:dyDescent="0.35">
      <c r="A208" s="2">
        <v>44867</v>
      </c>
      <c r="B208" s="1">
        <v>1155.55</v>
      </c>
      <c r="C208" s="1">
        <v>3162.69</v>
      </c>
      <c r="D208">
        <v>904.7</v>
      </c>
      <c r="E208" s="1">
        <v>1544.59</v>
      </c>
      <c r="F208">
        <v>352.48</v>
      </c>
    </row>
    <row r="209" spans="1:6" x14ac:dyDescent="0.35">
      <c r="A209" s="2">
        <v>44868</v>
      </c>
      <c r="B209" s="1">
        <v>1159.8599999999999</v>
      </c>
      <c r="C209" s="1">
        <v>3128.59</v>
      </c>
      <c r="D209">
        <v>908.65</v>
      </c>
      <c r="E209" s="1">
        <v>1522.17</v>
      </c>
      <c r="F209">
        <v>351.53</v>
      </c>
    </row>
    <row r="210" spans="1:6" x14ac:dyDescent="0.35">
      <c r="A210" s="2">
        <v>44869</v>
      </c>
      <c r="B210" s="1">
        <v>1176.93</v>
      </c>
      <c r="C210" s="1">
        <v>3138.98</v>
      </c>
      <c r="D210">
        <v>905.3</v>
      </c>
      <c r="E210" s="1">
        <v>1505.52</v>
      </c>
      <c r="F210">
        <v>351.43</v>
      </c>
    </row>
    <row r="211" spans="1:6" x14ac:dyDescent="0.35">
      <c r="A211" s="2">
        <v>44872</v>
      </c>
      <c r="B211" s="1">
        <v>1183.21</v>
      </c>
      <c r="C211" s="1">
        <v>3154.88</v>
      </c>
      <c r="D211">
        <v>917.5</v>
      </c>
      <c r="E211" s="1">
        <v>1499</v>
      </c>
      <c r="F211">
        <v>351.34</v>
      </c>
    </row>
    <row r="212" spans="1:6" x14ac:dyDescent="0.35">
      <c r="A212" s="2">
        <v>44874</v>
      </c>
      <c r="B212" s="1">
        <v>1182.03</v>
      </c>
      <c r="C212" s="1">
        <v>3137.66</v>
      </c>
      <c r="D212">
        <v>910.5</v>
      </c>
      <c r="E212" s="1">
        <v>1502.73</v>
      </c>
      <c r="F212">
        <v>358.49</v>
      </c>
    </row>
    <row r="213" spans="1:6" x14ac:dyDescent="0.35">
      <c r="A213" s="2">
        <v>44875</v>
      </c>
      <c r="B213" s="1">
        <v>1167.73</v>
      </c>
      <c r="C213" s="1">
        <v>3127.51</v>
      </c>
      <c r="D213">
        <v>910.7</v>
      </c>
      <c r="E213" s="1">
        <v>1493.53</v>
      </c>
      <c r="F213">
        <v>353.82</v>
      </c>
    </row>
    <row r="214" spans="1:6" x14ac:dyDescent="0.35">
      <c r="A214" s="2">
        <v>44876</v>
      </c>
      <c r="B214" s="1">
        <v>1194.6500000000001</v>
      </c>
      <c r="C214" s="1">
        <v>3235.13</v>
      </c>
      <c r="D214">
        <v>906.55</v>
      </c>
      <c r="E214" s="1">
        <v>1561.3</v>
      </c>
      <c r="F214">
        <v>354.17</v>
      </c>
    </row>
    <row r="215" spans="1:6" x14ac:dyDescent="0.35">
      <c r="A215" s="2">
        <v>44879</v>
      </c>
      <c r="B215" s="1">
        <v>1188.8599999999999</v>
      </c>
      <c r="C215" s="1">
        <v>3254.2</v>
      </c>
      <c r="D215">
        <v>894.95</v>
      </c>
      <c r="E215" s="1">
        <v>1576.42</v>
      </c>
      <c r="F215">
        <v>345.07</v>
      </c>
    </row>
    <row r="216" spans="1:6" x14ac:dyDescent="0.35">
      <c r="A216" s="2">
        <v>44880</v>
      </c>
      <c r="B216" s="1">
        <v>1183.53</v>
      </c>
      <c r="C216" s="1">
        <v>3251.37</v>
      </c>
      <c r="D216">
        <v>911.7</v>
      </c>
      <c r="E216" s="1">
        <v>1585.07</v>
      </c>
      <c r="F216">
        <v>343.14</v>
      </c>
    </row>
    <row r="217" spans="1:6" x14ac:dyDescent="0.35">
      <c r="A217" s="2">
        <v>44881</v>
      </c>
      <c r="B217" s="1">
        <v>1176.74</v>
      </c>
      <c r="C217" s="1">
        <v>3273.56</v>
      </c>
      <c r="D217">
        <v>913.6</v>
      </c>
      <c r="E217" s="1">
        <v>1593.82</v>
      </c>
      <c r="F217">
        <v>341.99</v>
      </c>
    </row>
    <row r="218" spans="1:6" x14ac:dyDescent="0.35">
      <c r="A218" s="2">
        <v>44882</v>
      </c>
      <c r="B218" s="1">
        <v>1179.79</v>
      </c>
      <c r="C218" s="1">
        <v>3267.37</v>
      </c>
      <c r="D218">
        <v>919.8</v>
      </c>
      <c r="E218" s="1">
        <v>1578.5</v>
      </c>
      <c r="F218">
        <v>341.6</v>
      </c>
    </row>
    <row r="219" spans="1:6" x14ac:dyDescent="0.35">
      <c r="A219" s="2">
        <v>44883</v>
      </c>
      <c r="B219" s="1">
        <v>1179.1500000000001</v>
      </c>
      <c r="C219" s="1">
        <v>3261.96</v>
      </c>
      <c r="D219">
        <v>920.35</v>
      </c>
      <c r="E219" s="1">
        <v>1584.47</v>
      </c>
      <c r="F219">
        <v>338.96</v>
      </c>
    </row>
    <row r="220" spans="1:6" x14ac:dyDescent="0.35">
      <c r="A220" s="2">
        <v>44886</v>
      </c>
      <c r="B220" s="1">
        <v>1157.93</v>
      </c>
      <c r="C220" s="1">
        <v>3203.47</v>
      </c>
      <c r="D220">
        <v>921.4</v>
      </c>
      <c r="E220" s="1">
        <v>1559.41</v>
      </c>
      <c r="F220">
        <v>335.14</v>
      </c>
    </row>
    <row r="221" spans="1:6" x14ac:dyDescent="0.35">
      <c r="A221" s="2">
        <v>44887</v>
      </c>
      <c r="B221" s="1">
        <v>1164.3499999999999</v>
      </c>
      <c r="C221" s="1">
        <v>3234.15</v>
      </c>
      <c r="D221">
        <v>923.7</v>
      </c>
      <c r="E221" s="1">
        <v>1576.17</v>
      </c>
      <c r="F221">
        <v>338.17</v>
      </c>
    </row>
    <row r="222" spans="1:6" x14ac:dyDescent="0.35">
      <c r="A222" s="2">
        <v>44888</v>
      </c>
      <c r="B222" s="1">
        <v>1160.72</v>
      </c>
      <c r="C222" s="1">
        <v>3227.66</v>
      </c>
      <c r="D222">
        <v>927.45</v>
      </c>
      <c r="E222" s="1">
        <v>1574.28</v>
      </c>
      <c r="F222">
        <v>337.72</v>
      </c>
    </row>
    <row r="223" spans="1:6" x14ac:dyDescent="0.35">
      <c r="A223" s="2">
        <v>44889</v>
      </c>
      <c r="B223" s="1">
        <v>1170.73</v>
      </c>
      <c r="C223" s="1">
        <v>3297.76</v>
      </c>
      <c r="D223">
        <v>938.85</v>
      </c>
      <c r="E223" s="1">
        <v>1620.67</v>
      </c>
      <c r="F223">
        <v>338.66</v>
      </c>
    </row>
    <row r="224" spans="1:6" x14ac:dyDescent="0.35">
      <c r="A224" s="2">
        <v>44890</v>
      </c>
      <c r="B224" s="1">
        <v>1188.21</v>
      </c>
      <c r="C224" s="1">
        <v>3307.03</v>
      </c>
      <c r="D224">
        <v>930.3</v>
      </c>
      <c r="E224" s="1">
        <v>1626.48</v>
      </c>
      <c r="F224">
        <v>338.22</v>
      </c>
    </row>
    <row r="225" spans="1:6" x14ac:dyDescent="0.35">
      <c r="A225" s="2">
        <v>44893</v>
      </c>
      <c r="B225" s="1">
        <v>1229.04</v>
      </c>
      <c r="C225" s="1">
        <v>3312.49</v>
      </c>
      <c r="D225">
        <v>937.4</v>
      </c>
      <c r="E225" s="1">
        <v>1614.3</v>
      </c>
      <c r="F225">
        <v>337.97</v>
      </c>
    </row>
    <row r="226" spans="1:6" x14ac:dyDescent="0.35">
      <c r="A226" s="2">
        <v>44894</v>
      </c>
      <c r="B226" s="1">
        <v>1231.1500000000001</v>
      </c>
      <c r="C226" s="1">
        <v>3314.54</v>
      </c>
      <c r="D226">
        <v>946.75</v>
      </c>
      <c r="E226" s="1">
        <v>1619.92</v>
      </c>
      <c r="F226">
        <v>340.2</v>
      </c>
    </row>
    <row r="227" spans="1:6" x14ac:dyDescent="0.35">
      <c r="A227" s="2">
        <v>44895</v>
      </c>
      <c r="B227" s="1">
        <v>1239.8399999999999</v>
      </c>
      <c r="C227" s="1">
        <v>3308.15</v>
      </c>
      <c r="D227">
        <v>952.9</v>
      </c>
      <c r="E227" s="1">
        <v>1625.79</v>
      </c>
      <c r="F227">
        <v>337.92</v>
      </c>
    </row>
    <row r="228" spans="1:6" x14ac:dyDescent="0.35">
      <c r="A228" s="2">
        <v>44896</v>
      </c>
      <c r="B228" s="1">
        <v>1236.19</v>
      </c>
      <c r="C228" s="1">
        <v>3390.93</v>
      </c>
      <c r="D228">
        <v>940.2</v>
      </c>
      <c r="E228" s="1">
        <v>1647.81</v>
      </c>
      <c r="F228">
        <v>337.47</v>
      </c>
    </row>
    <row r="229" spans="1:6" x14ac:dyDescent="0.35">
      <c r="A229" s="2">
        <v>44897</v>
      </c>
      <c r="B229" s="1">
        <v>1235.6600000000001</v>
      </c>
      <c r="C229" s="1">
        <v>3355.32</v>
      </c>
      <c r="D229">
        <v>930.6</v>
      </c>
      <c r="E229" s="1">
        <v>1628.72</v>
      </c>
      <c r="F229">
        <v>335.09</v>
      </c>
    </row>
    <row r="230" spans="1:6" x14ac:dyDescent="0.35">
      <c r="A230" s="2">
        <v>44900</v>
      </c>
      <c r="B230" s="1">
        <v>1217.6400000000001</v>
      </c>
      <c r="C230" s="1">
        <v>3342.4</v>
      </c>
      <c r="D230">
        <v>933.6</v>
      </c>
      <c r="E230" s="1">
        <v>1630.56</v>
      </c>
      <c r="F230">
        <v>334.69</v>
      </c>
    </row>
    <row r="231" spans="1:6" x14ac:dyDescent="0.35">
      <c r="A231" s="2">
        <v>44901</v>
      </c>
      <c r="B231" s="1">
        <v>1221.1600000000001</v>
      </c>
      <c r="C231" s="1">
        <v>3302.83</v>
      </c>
      <c r="D231">
        <v>922.65</v>
      </c>
      <c r="E231" s="1">
        <v>1603.86</v>
      </c>
      <c r="F231">
        <v>335.23</v>
      </c>
    </row>
    <row r="232" spans="1:6" x14ac:dyDescent="0.35">
      <c r="A232" s="2">
        <v>44902</v>
      </c>
      <c r="B232" s="1">
        <v>1203.1400000000001</v>
      </c>
      <c r="C232" s="1">
        <v>3298.2</v>
      </c>
      <c r="D232">
        <v>922.15</v>
      </c>
      <c r="E232" s="1">
        <v>1596.5</v>
      </c>
      <c r="F232">
        <v>338.02</v>
      </c>
    </row>
    <row r="233" spans="1:6" x14ac:dyDescent="0.35">
      <c r="A233" s="2">
        <v>44903</v>
      </c>
      <c r="B233" s="1">
        <v>1202.57</v>
      </c>
      <c r="C233" s="1">
        <v>3268.88</v>
      </c>
      <c r="D233">
        <v>931.9</v>
      </c>
      <c r="E233" s="1">
        <v>1611.07</v>
      </c>
      <c r="F233">
        <v>336.33</v>
      </c>
    </row>
    <row r="234" spans="1:6" x14ac:dyDescent="0.35">
      <c r="A234" s="2">
        <v>44904</v>
      </c>
      <c r="B234" s="1">
        <v>1184.3499999999999</v>
      </c>
      <c r="C234" s="1">
        <v>3212.49</v>
      </c>
      <c r="D234">
        <v>929.9</v>
      </c>
      <c r="E234" s="1">
        <v>1560.51</v>
      </c>
      <c r="F234">
        <v>339.31</v>
      </c>
    </row>
    <row r="235" spans="1:6" x14ac:dyDescent="0.35">
      <c r="A235" s="2">
        <v>44907</v>
      </c>
      <c r="B235" s="1">
        <v>1186.1600000000001</v>
      </c>
      <c r="C235" s="1">
        <v>3206.34</v>
      </c>
      <c r="D235">
        <v>930.3</v>
      </c>
      <c r="E235" s="1">
        <v>1538.53</v>
      </c>
      <c r="F235">
        <v>341.1</v>
      </c>
    </row>
    <row r="236" spans="1:6" x14ac:dyDescent="0.35">
      <c r="A236" s="2">
        <v>44908</v>
      </c>
      <c r="B236" s="1">
        <v>1191.56</v>
      </c>
      <c r="C236" s="1">
        <v>3250.88</v>
      </c>
      <c r="D236">
        <v>932.95</v>
      </c>
      <c r="E236" s="1">
        <v>1563.34</v>
      </c>
      <c r="F236">
        <v>343.48</v>
      </c>
    </row>
    <row r="237" spans="1:6" x14ac:dyDescent="0.35">
      <c r="A237" s="2">
        <v>44909</v>
      </c>
      <c r="B237" s="1">
        <v>1187.25</v>
      </c>
      <c r="C237" s="1">
        <v>3283.32</v>
      </c>
      <c r="D237">
        <v>921.75</v>
      </c>
      <c r="E237" s="1">
        <v>1570.55</v>
      </c>
      <c r="F237">
        <v>343.29</v>
      </c>
    </row>
    <row r="238" spans="1:6" x14ac:dyDescent="0.35">
      <c r="A238" s="2">
        <v>44910</v>
      </c>
      <c r="B238" s="1">
        <v>1170.3900000000001</v>
      </c>
      <c r="C238" s="1">
        <v>3224.54</v>
      </c>
      <c r="D238">
        <v>908.8</v>
      </c>
      <c r="E238" s="1">
        <v>1531.87</v>
      </c>
      <c r="F238">
        <v>336.77</v>
      </c>
    </row>
    <row r="239" spans="1:6" x14ac:dyDescent="0.35">
      <c r="A239" s="2">
        <v>44911</v>
      </c>
      <c r="B239" s="1">
        <v>1164.5999999999999</v>
      </c>
      <c r="C239" s="1">
        <v>3161.27</v>
      </c>
      <c r="D239">
        <v>902</v>
      </c>
      <c r="E239" s="1">
        <v>1513.67</v>
      </c>
      <c r="F239">
        <v>333.05</v>
      </c>
    </row>
    <row r="240" spans="1:6" x14ac:dyDescent="0.35">
      <c r="A240" s="2">
        <v>44914</v>
      </c>
      <c r="B240" s="1">
        <v>1179.9000000000001</v>
      </c>
      <c r="C240" s="1">
        <v>3124</v>
      </c>
      <c r="D240">
        <v>906.45</v>
      </c>
      <c r="E240" s="1">
        <v>1498.9</v>
      </c>
      <c r="F240">
        <v>320.14</v>
      </c>
    </row>
    <row r="241" spans="1:6" x14ac:dyDescent="0.35">
      <c r="A241" s="2">
        <v>44915</v>
      </c>
      <c r="B241" s="1">
        <v>1190.1099999999999</v>
      </c>
      <c r="C241" s="1">
        <v>3164.88</v>
      </c>
      <c r="D241">
        <v>909.7</v>
      </c>
      <c r="E241" s="1">
        <v>1498.85</v>
      </c>
      <c r="F241">
        <v>319.82</v>
      </c>
    </row>
    <row r="242" spans="1:6" x14ac:dyDescent="0.35">
      <c r="A242" s="2">
        <v>44916</v>
      </c>
      <c r="B242" s="1">
        <v>1173.18</v>
      </c>
      <c r="C242" s="1">
        <v>3188.88</v>
      </c>
      <c r="D242">
        <v>892.25</v>
      </c>
      <c r="E242" s="1">
        <v>1501.09</v>
      </c>
      <c r="F242">
        <v>315.11</v>
      </c>
    </row>
    <row r="243" spans="1:6" x14ac:dyDescent="0.35">
      <c r="A243" s="2">
        <v>44917</v>
      </c>
      <c r="B243" s="1">
        <v>1170.1400000000001</v>
      </c>
      <c r="C243" s="1">
        <v>3180.25</v>
      </c>
      <c r="D243">
        <v>890.65</v>
      </c>
      <c r="E243" s="1">
        <v>1513.52</v>
      </c>
      <c r="F243">
        <v>312.58</v>
      </c>
    </row>
    <row r="244" spans="1:6" x14ac:dyDescent="0.35">
      <c r="A244" s="2">
        <v>44918</v>
      </c>
      <c r="B244" s="1">
        <v>1135.82</v>
      </c>
      <c r="C244" s="1">
        <v>3149.66</v>
      </c>
      <c r="D244">
        <v>878.9</v>
      </c>
      <c r="E244" s="1">
        <v>1488.71</v>
      </c>
      <c r="F244">
        <v>307.17</v>
      </c>
    </row>
    <row r="245" spans="1:6" x14ac:dyDescent="0.35">
      <c r="A245" s="2">
        <v>44921</v>
      </c>
      <c r="B245" s="1">
        <v>1145.74</v>
      </c>
      <c r="C245" s="1">
        <v>3173.61</v>
      </c>
      <c r="D245">
        <v>893.2</v>
      </c>
      <c r="E245" s="1">
        <v>1493.98</v>
      </c>
      <c r="F245">
        <v>314.60000000000002</v>
      </c>
    </row>
    <row r="246" spans="1:6" x14ac:dyDescent="0.35">
      <c r="A246" s="2">
        <v>44922</v>
      </c>
      <c r="B246" s="1">
        <v>1155.1099999999999</v>
      </c>
      <c r="C246" s="1">
        <v>3180.05</v>
      </c>
      <c r="D246">
        <v>900.65</v>
      </c>
      <c r="E246" s="1">
        <v>1506.36</v>
      </c>
      <c r="F246">
        <v>313.23</v>
      </c>
    </row>
    <row r="247" spans="1:6" x14ac:dyDescent="0.35">
      <c r="A247" s="2">
        <v>44923</v>
      </c>
      <c r="B247" s="1">
        <v>1155</v>
      </c>
      <c r="C247" s="1">
        <v>3177.71</v>
      </c>
      <c r="D247">
        <v>898.95</v>
      </c>
      <c r="E247" s="1">
        <v>1501.69</v>
      </c>
      <c r="F247">
        <v>314.41000000000003</v>
      </c>
    </row>
    <row r="248" spans="1:6" x14ac:dyDescent="0.35">
      <c r="A248" s="2">
        <v>44924</v>
      </c>
      <c r="B248" s="1">
        <v>1154.48</v>
      </c>
      <c r="C248" s="1">
        <v>3189.08</v>
      </c>
      <c r="D248">
        <v>908.05</v>
      </c>
      <c r="E248" s="1">
        <v>1509.05</v>
      </c>
      <c r="F248">
        <v>315.3</v>
      </c>
    </row>
    <row r="249" spans="1:6" x14ac:dyDescent="0.35">
      <c r="A249" s="2">
        <v>44925</v>
      </c>
      <c r="B249" s="1">
        <v>1156.25</v>
      </c>
      <c r="C249" s="1">
        <v>3177.32</v>
      </c>
      <c r="D249">
        <v>890.85</v>
      </c>
      <c r="E249" s="1">
        <v>1499.75</v>
      </c>
      <c r="F249">
        <v>311.73</v>
      </c>
    </row>
    <row r="250" spans="1:6" x14ac:dyDescent="0.35">
      <c r="A250" s="2">
        <v>44928</v>
      </c>
      <c r="B250" s="1">
        <v>1169.28</v>
      </c>
      <c r="C250" s="1">
        <v>3181.95</v>
      </c>
      <c r="D250">
        <v>902.45</v>
      </c>
      <c r="E250" s="1">
        <v>1515.46</v>
      </c>
      <c r="F250">
        <v>312.95</v>
      </c>
    </row>
    <row r="251" spans="1:6" x14ac:dyDescent="0.35">
      <c r="A251" s="2">
        <v>44929</v>
      </c>
      <c r="B251" s="1">
        <v>1160.72</v>
      </c>
      <c r="C251" s="1">
        <v>3230.64</v>
      </c>
      <c r="D251">
        <v>901.35</v>
      </c>
      <c r="E251" s="1">
        <v>1514.02</v>
      </c>
      <c r="F251">
        <v>311.31</v>
      </c>
    </row>
    <row r="252" spans="1:6" x14ac:dyDescent="0.35">
      <c r="A252" s="2">
        <v>44930</v>
      </c>
      <c r="B252" s="1">
        <v>1143.24</v>
      </c>
      <c r="C252" s="1">
        <v>3233.86</v>
      </c>
      <c r="D252">
        <v>899.1</v>
      </c>
      <c r="E252" s="1">
        <v>1486.42</v>
      </c>
      <c r="F252">
        <v>307.45</v>
      </c>
    </row>
    <row r="253" spans="1:6" x14ac:dyDescent="0.35">
      <c r="A253" s="2">
        <v>44931</v>
      </c>
      <c r="B253" s="1">
        <v>1141.2</v>
      </c>
      <c r="C253" s="1">
        <v>3230.39</v>
      </c>
      <c r="D253">
        <v>879.15</v>
      </c>
      <c r="E253" s="1">
        <v>1466.93</v>
      </c>
      <c r="F253">
        <v>313.52</v>
      </c>
    </row>
    <row r="254" spans="1:6" x14ac:dyDescent="0.35">
      <c r="A254" s="2">
        <v>44932</v>
      </c>
      <c r="B254" s="1">
        <v>1151.57</v>
      </c>
      <c r="C254" s="1">
        <v>3133.27</v>
      </c>
      <c r="D254">
        <v>870.1</v>
      </c>
      <c r="E254" s="1">
        <v>1440.38</v>
      </c>
      <c r="F254">
        <v>315.02</v>
      </c>
    </row>
    <row r="255" spans="1:6" x14ac:dyDescent="0.35">
      <c r="A255" s="2">
        <v>44935</v>
      </c>
      <c r="B255" s="1">
        <v>1178.76</v>
      </c>
      <c r="C255" s="1">
        <v>3239.03</v>
      </c>
      <c r="D255">
        <v>873.35</v>
      </c>
      <c r="E255" s="1">
        <v>1476.13</v>
      </c>
      <c r="F255">
        <v>317.83999999999997</v>
      </c>
    </row>
    <row r="256" spans="1:6" x14ac:dyDescent="0.35">
      <c r="A256" s="2">
        <v>44936</v>
      </c>
      <c r="B256" s="1">
        <v>1161.33</v>
      </c>
      <c r="C256" s="1">
        <v>3206.3</v>
      </c>
      <c r="D256">
        <v>861.35</v>
      </c>
      <c r="E256" s="1">
        <v>1461.51</v>
      </c>
      <c r="F256">
        <v>313.47000000000003</v>
      </c>
    </row>
    <row r="257" spans="1:6" x14ac:dyDescent="0.35">
      <c r="A257" s="2">
        <v>44937</v>
      </c>
      <c r="B257" s="1">
        <v>1146.69</v>
      </c>
      <c r="C257" s="1">
        <v>3247.56</v>
      </c>
      <c r="D257">
        <v>866.3</v>
      </c>
      <c r="E257" s="1">
        <v>1463.01</v>
      </c>
      <c r="F257">
        <v>311.95999999999998</v>
      </c>
    </row>
    <row r="258" spans="1:6" x14ac:dyDescent="0.35">
      <c r="A258" s="2">
        <v>44938</v>
      </c>
      <c r="B258" s="1">
        <v>1121.93</v>
      </c>
      <c r="C258" s="1">
        <v>3253.08</v>
      </c>
      <c r="D258">
        <v>860.65</v>
      </c>
      <c r="E258" s="1">
        <v>1472.3</v>
      </c>
      <c r="F258">
        <v>310.13</v>
      </c>
    </row>
    <row r="259" spans="1:6" x14ac:dyDescent="0.35">
      <c r="A259" s="2">
        <v>44939</v>
      </c>
      <c r="B259" s="1">
        <v>1120.1199999999999</v>
      </c>
      <c r="C259" s="1">
        <v>3292.3</v>
      </c>
      <c r="D259">
        <v>873.45</v>
      </c>
      <c r="E259" s="1">
        <v>1495.22</v>
      </c>
      <c r="F259">
        <v>309.10000000000002</v>
      </c>
    </row>
    <row r="260" spans="1:6" x14ac:dyDescent="0.35">
      <c r="A260" s="2">
        <v>44942</v>
      </c>
      <c r="B260" s="1">
        <v>1109.45</v>
      </c>
      <c r="C260" s="1">
        <v>3318.67</v>
      </c>
      <c r="D260">
        <v>865.25</v>
      </c>
      <c r="E260" s="1">
        <v>1516.95</v>
      </c>
      <c r="F260">
        <v>310.45999999999998</v>
      </c>
    </row>
    <row r="261" spans="1:6" x14ac:dyDescent="0.35">
      <c r="A261" s="2">
        <v>44943</v>
      </c>
      <c r="B261" s="1">
        <v>1125.2</v>
      </c>
      <c r="C261" s="1">
        <v>3362.82</v>
      </c>
      <c r="D261">
        <v>865.15</v>
      </c>
      <c r="E261" s="1">
        <v>1530.87</v>
      </c>
      <c r="F261">
        <v>312.39</v>
      </c>
    </row>
    <row r="262" spans="1:6" x14ac:dyDescent="0.35">
      <c r="A262" s="2">
        <v>44944</v>
      </c>
      <c r="B262" s="1">
        <v>1123.3399999999999</v>
      </c>
      <c r="C262" s="1">
        <v>3374.36</v>
      </c>
      <c r="D262">
        <v>869.5</v>
      </c>
      <c r="E262" s="1">
        <v>1536.74</v>
      </c>
      <c r="F262">
        <v>314.64</v>
      </c>
    </row>
    <row r="263" spans="1:6" x14ac:dyDescent="0.35">
      <c r="A263" s="2">
        <v>44945</v>
      </c>
      <c r="B263" s="1">
        <v>1122.1400000000001</v>
      </c>
      <c r="C263" s="1">
        <v>3357.54</v>
      </c>
      <c r="D263">
        <v>866.15</v>
      </c>
      <c r="E263" s="1">
        <v>1530.28</v>
      </c>
      <c r="F263">
        <v>312.29000000000002</v>
      </c>
    </row>
    <row r="264" spans="1:6" x14ac:dyDescent="0.35">
      <c r="A264" s="2">
        <v>44946</v>
      </c>
      <c r="B264" s="1">
        <v>1108.79</v>
      </c>
      <c r="C264" s="1">
        <v>3347.59</v>
      </c>
      <c r="D264">
        <v>870.35</v>
      </c>
      <c r="E264" s="1">
        <v>1517</v>
      </c>
      <c r="F264">
        <v>314.60000000000002</v>
      </c>
    </row>
    <row r="265" spans="1:6" x14ac:dyDescent="0.35">
      <c r="A265" s="2">
        <v>44949</v>
      </c>
      <c r="B265" s="1">
        <v>1103.18</v>
      </c>
      <c r="C265" s="1">
        <v>3399.15</v>
      </c>
      <c r="D265">
        <v>871.7</v>
      </c>
      <c r="E265" s="1">
        <v>1539.32</v>
      </c>
      <c r="F265">
        <v>317.56</v>
      </c>
    </row>
    <row r="266" spans="1:6" x14ac:dyDescent="0.35">
      <c r="A266" s="2">
        <v>44950</v>
      </c>
      <c r="B266" s="1">
        <v>1096.67</v>
      </c>
      <c r="C266" s="1">
        <v>3420.45</v>
      </c>
      <c r="D266">
        <v>870.75</v>
      </c>
      <c r="E266" s="1">
        <v>1543.2</v>
      </c>
      <c r="F266">
        <v>318.69</v>
      </c>
    </row>
    <row r="267" spans="1:6" x14ac:dyDescent="0.35">
      <c r="A267" s="2">
        <v>44951</v>
      </c>
      <c r="B267" s="1">
        <v>1081.51</v>
      </c>
      <c r="C267" s="1">
        <v>3413.93</v>
      </c>
      <c r="D267">
        <v>855.3</v>
      </c>
      <c r="E267" s="1">
        <v>1534.35</v>
      </c>
      <c r="F267">
        <v>318.97000000000003</v>
      </c>
    </row>
    <row r="268" spans="1:6" x14ac:dyDescent="0.35">
      <c r="A268" s="2">
        <v>44953</v>
      </c>
      <c r="B268" s="1">
        <v>1060.99</v>
      </c>
      <c r="C268" s="1">
        <v>3395.32</v>
      </c>
      <c r="D268">
        <v>817.2</v>
      </c>
      <c r="E268" s="1">
        <v>1510.64</v>
      </c>
      <c r="F268">
        <v>325.32</v>
      </c>
    </row>
    <row r="269" spans="1:6" x14ac:dyDescent="0.35">
      <c r="A269" s="2">
        <v>44956</v>
      </c>
      <c r="B269" s="1">
        <v>1071.1600000000001</v>
      </c>
      <c r="C269" s="1">
        <v>3417.81</v>
      </c>
      <c r="D269">
        <v>823.5</v>
      </c>
      <c r="E269" s="1">
        <v>1530.18</v>
      </c>
      <c r="F269">
        <v>324.19</v>
      </c>
    </row>
    <row r="270" spans="1:6" x14ac:dyDescent="0.35">
      <c r="A270" s="2">
        <v>44957</v>
      </c>
      <c r="B270" s="1">
        <v>1068.48</v>
      </c>
      <c r="C270" s="1">
        <v>3343.21</v>
      </c>
      <c r="D270">
        <v>831.9</v>
      </c>
      <c r="E270" s="1">
        <v>1525.16</v>
      </c>
      <c r="F270">
        <v>331.29</v>
      </c>
    </row>
    <row r="271" spans="1:6" x14ac:dyDescent="0.35">
      <c r="A271" s="2">
        <v>44958</v>
      </c>
      <c r="B271" s="1">
        <v>1062.1500000000001</v>
      </c>
      <c r="C271" s="1">
        <v>3392.63</v>
      </c>
      <c r="D271">
        <v>847.95</v>
      </c>
      <c r="E271" s="1">
        <v>1542.41</v>
      </c>
      <c r="F271">
        <v>339.8</v>
      </c>
    </row>
    <row r="272" spans="1:6" x14ac:dyDescent="0.35">
      <c r="A272" s="2">
        <v>44959</v>
      </c>
      <c r="B272" s="1">
        <v>1056.27</v>
      </c>
      <c r="C272" s="1">
        <v>3444.44</v>
      </c>
      <c r="D272">
        <v>857.9</v>
      </c>
      <c r="E272" s="1">
        <v>1574.88</v>
      </c>
      <c r="F272">
        <v>355.97</v>
      </c>
    </row>
    <row r="273" spans="1:6" x14ac:dyDescent="0.35">
      <c r="A273" s="2">
        <v>44960</v>
      </c>
      <c r="B273" s="1">
        <v>1057.2</v>
      </c>
      <c r="C273" s="1">
        <v>3466.24</v>
      </c>
      <c r="D273">
        <v>863.8</v>
      </c>
      <c r="E273" s="1">
        <v>1590.44</v>
      </c>
      <c r="F273">
        <v>357.89</v>
      </c>
    </row>
    <row r="274" spans="1:6" x14ac:dyDescent="0.35">
      <c r="A274" s="2">
        <v>44963</v>
      </c>
      <c r="B274" s="1">
        <v>1049.24</v>
      </c>
      <c r="C274" s="1">
        <v>3443.99</v>
      </c>
      <c r="D274">
        <v>853.7</v>
      </c>
      <c r="E274" s="1">
        <v>1561.05</v>
      </c>
      <c r="F274">
        <v>360.48</v>
      </c>
    </row>
    <row r="275" spans="1:6" x14ac:dyDescent="0.35">
      <c r="A275" s="2">
        <v>44964</v>
      </c>
      <c r="B275" s="1">
        <v>1046.72</v>
      </c>
      <c r="C275" s="1">
        <v>3456.53</v>
      </c>
      <c r="D275">
        <v>852.75</v>
      </c>
      <c r="E275" s="1">
        <v>1553.64</v>
      </c>
      <c r="F275">
        <v>350.94</v>
      </c>
    </row>
    <row r="276" spans="1:6" x14ac:dyDescent="0.35">
      <c r="A276" s="2">
        <v>44965</v>
      </c>
      <c r="B276" s="1">
        <v>1067.6199999999999</v>
      </c>
      <c r="C276" s="1">
        <v>3503.86</v>
      </c>
      <c r="D276">
        <v>859.1</v>
      </c>
      <c r="E276" s="1">
        <v>1581.59</v>
      </c>
      <c r="F276">
        <v>353.1</v>
      </c>
    </row>
    <row r="277" spans="1:6" x14ac:dyDescent="0.35">
      <c r="A277" s="2">
        <v>44966</v>
      </c>
      <c r="B277" s="1">
        <v>1069.48</v>
      </c>
      <c r="C277" s="1">
        <v>3524.52</v>
      </c>
      <c r="D277">
        <v>860.8</v>
      </c>
      <c r="E277" s="1">
        <v>1607.94</v>
      </c>
      <c r="F277">
        <v>351.88</v>
      </c>
    </row>
    <row r="278" spans="1:6" x14ac:dyDescent="0.35">
      <c r="A278" s="2">
        <v>44967</v>
      </c>
      <c r="B278" s="1">
        <v>1060.67</v>
      </c>
      <c r="C278" s="1">
        <v>3521.24</v>
      </c>
      <c r="D278">
        <v>853.85</v>
      </c>
      <c r="E278" s="1">
        <v>1599.54</v>
      </c>
      <c r="F278">
        <v>349.15</v>
      </c>
    </row>
    <row r="279" spans="1:6" x14ac:dyDescent="0.35">
      <c r="A279" s="2">
        <v>44970</v>
      </c>
      <c r="B279" s="1">
        <v>1054.6400000000001</v>
      </c>
      <c r="C279" s="1">
        <v>3466.34</v>
      </c>
      <c r="D279">
        <v>850.65</v>
      </c>
      <c r="E279" s="1">
        <v>1558.67</v>
      </c>
      <c r="F279">
        <v>351.83</v>
      </c>
    </row>
    <row r="280" spans="1:6" x14ac:dyDescent="0.35">
      <c r="A280" s="2">
        <v>44971</v>
      </c>
      <c r="B280" s="1">
        <v>1079.49</v>
      </c>
      <c r="C280" s="1">
        <v>3483.96</v>
      </c>
      <c r="D280">
        <v>865.3</v>
      </c>
      <c r="E280" s="1">
        <v>1584.32</v>
      </c>
      <c r="F280">
        <v>363.35</v>
      </c>
    </row>
    <row r="281" spans="1:6" x14ac:dyDescent="0.35">
      <c r="A281" s="2">
        <v>44972</v>
      </c>
      <c r="B281" s="1">
        <v>1103.93</v>
      </c>
      <c r="C281" s="1">
        <v>3504.41</v>
      </c>
      <c r="D281">
        <v>870.8</v>
      </c>
      <c r="E281" s="1">
        <v>1588.1</v>
      </c>
      <c r="F281">
        <v>359.35</v>
      </c>
    </row>
    <row r="282" spans="1:6" x14ac:dyDescent="0.35">
      <c r="A282" s="2">
        <v>44973</v>
      </c>
      <c r="B282" s="1">
        <v>1103.07</v>
      </c>
      <c r="C282" s="1">
        <v>3541.64</v>
      </c>
      <c r="D282">
        <v>869.45</v>
      </c>
      <c r="E282" s="1">
        <v>1592.82</v>
      </c>
      <c r="F282">
        <v>359.68</v>
      </c>
    </row>
    <row r="283" spans="1:6" x14ac:dyDescent="0.35">
      <c r="A283" s="2">
        <v>44974</v>
      </c>
      <c r="B283" s="1">
        <v>1107.68</v>
      </c>
      <c r="C283" s="1">
        <v>3485</v>
      </c>
      <c r="D283">
        <v>862.65</v>
      </c>
      <c r="E283" s="1">
        <v>1574.92</v>
      </c>
      <c r="F283">
        <v>360.48</v>
      </c>
    </row>
    <row r="284" spans="1:6" x14ac:dyDescent="0.35">
      <c r="A284" s="2">
        <v>44977</v>
      </c>
      <c r="B284" s="1">
        <v>1095.97</v>
      </c>
      <c r="C284" s="1">
        <v>3471.22</v>
      </c>
      <c r="D284">
        <v>852.1</v>
      </c>
      <c r="E284" s="1">
        <v>1583.53</v>
      </c>
      <c r="F284">
        <v>361.09</v>
      </c>
    </row>
    <row r="285" spans="1:6" x14ac:dyDescent="0.35">
      <c r="A285" s="2">
        <v>44978</v>
      </c>
      <c r="B285" s="1">
        <v>1104.9100000000001</v>
      </c>
      <c r="C285" s="1">
        <v>3435.08</v>
      </c>
      <c r="D285">
        <v>854.2</v>
      </c>
      <c r="E285" s="1">
        <v>1570.65</v>
      </c>
      <c r="F285">
        <v>359.4</v>
      </c>
    </row>
    <row r="286" spans="1:6" x14ac:dyDescent="0.35">
      <c r="A286" s="2">
        <v>44979</v>
      </c>
      <c r="B286" s="1">
        <v>1079.8499999999999</v>
      </c>
      <c r="C286" s="1">
        <v>3385.86</v>
      </c>
      <c r="D286">
        <v>839.25</v>
      </c>
      <c r="E286" s="1">
        <v>1553.05</v>
      </c>
      <c r="F286">
        <v>360.9</v>
      </c>
    </row>
    <row r="287" spans="1:6" x14ac:dyDescent="0.35">
      <c r="A287" s="2">
        <v>44980</v>
      </c>
      <c r="B287" s="1">
        <v>1074.68</v>
      </c>
      <c r="C287" s="1">
        <v>3398.06</v>
      </c>
      <c r="D287">
        <v>839.75</v>
      </c>
      <c r="E287" s="1">
        <v>1542.01</v>
      </c>
      <c r="F287">
        <v>364.43</v>
      </c>
    </row>
    <row r="288" spans="1:6" x14ac:dyDescent="0.35">
      <c r="A288" s="2">
        <v>44981</v>
      </c>
      <c r="B288" s="1">
        <v>1082.03</v>
      </c>
      <c r="C288" s="1">
        <v>3384.77</v>
      </c>
      <c r="D288">
        <v>839.7</v>
      </c>
      <c r="E288" s="1">
        <v>1541.96</v>
      </c>
      <c r="F288">
        <v>362.08</v>
      </c>
    </row>
    <row r="289" spans="1:6" x14ac:dyDescent="0.35">
      <c r="A289" s="2">
        <v>44984</v>
      </c>
      <c r="B289" s="1">
        <v>1074.8399999999999</v>
      </c>
      <c r="C289" s="1">
        <v>3316.48</v>
      </c>
      <c r="D289">
        <v>856.4</v>
      </c>
      <c r="E289" s="1">
        <v>1500.84</v>
      </c>
      <c r="F289">
        <v>359.35</v>
      </c>
    </row>
    <row r="290" spans="1:6" x14ac:dyDescent="0.35">
      <c r="A290" s="2">
        <v>44985</v>
      </c>
      <c r="B290" s="1">
        <v>1054.27</v>
      </c>
      <c r="C290" s="1">
        <v>3297.57</v>
      </c>
      <c r="D290">
        <v>854.85</v>
      </c>
      <c r="E290" s="1">
        <v>1479.21</v>
      </c>
      <c r="F290">
        <v>354.18</v>
      </c>
    </row>
    <row r="291" spans="1:6" x14ac:dyDescent="0.35">
      <c r="A291" s="2">
        <v>44986</v>
      </c>
      <c r="B291" s="1">
        <v>1063.97</v>
      </c>
      <c r="C291" s="1">
        <v>3370.08</v>
      </c>
      <c r="D291">
        <v>856.3</v>
      </c>
      <c r="E291" s="1">
        <v>1487.67</v>
      </c>
      <c r="F291">
        <v>356.06</v>
      </c>
    </row>
    <row r="292" spans="1:6" x14ac:dyDescent="0.35">
      <c r="A292" s="2">
        <v>44987</v>
      </c>
      <c r="B292" s="1">
        <v>1055.8599999999999</v>
      </c>
      <c r="C292" s="1">
        <v>3306.13</v>
      </c>
      <c r="D292">
        <v>854</v>
      </c>
      <c r="E292" s="1">
        <v>1463.9</v>
      </c>
      <c r="F292">
        <v>353.1</v>
      </c>
    </row>
    <row r="293" spans="1:6" x14ac:dyDescent="0.35">
      <c r="A293" s="2">
        <v>44988</v>
      </c>
      <c r="B293" s="1">
        <v>1082.8</v>
      </c>
      <c r="C293" s="1">
        <v>3326.74</v>
      </c>
      <c r="D293">
        <v>868.55</v>
      </c>
      <c r="E293" s="1">
        <v>1471.01</v>
      </c>
      <c r="F293">
        <v>361.94</v>
      </c>
    </row>
    <row r="294" spans="1:6" x14ac:dyDescent="0.35">
      <c r="A294" s="2">
        <v>44991</v>
      </c>
      <c r="B294" s="1">
        <v>1093.3800000000001</v>
      </c>
      <c r="C294" s="1">
        <v>3356.3</v>
      </c>
      <c r="D294">
        <v>867.75</v>
      </c>
      <c r="E294" s="1">
        <v>1499</v>
      </c>
      <c r="F294">
        <v>364.95</v>
      </c>
    </row>
    <row r="295" spans="1:6" x14ac:dyDescent="0.35">
      <c r="A295" s="2">
        <v>44993</v>
      </c>
      <c r="B295" s="1">
        <v>1097.31</v>
      </c>
      <c r="C295" s="1">
        <v>3374.76</v>
      </c>
      <c r="D295">
        <v>872.1</v>
      </c>
      <c r="E295" s="1">
        <v>1484.33</v>
      </c>
      <c r="F295">
        <v>368.94</v>
      </c>
    </row>
    <row r="296" spans="1:6" x14ac:dyDescent="0.35">
      <c r="A296" s="2">
        <v>44994</v>
      </c>
      <c r="B296" s="1">
        <v>1070.93</v>
      </c>
      <c r="C296" s="1">
        <v>3321.46</v>
      </c>
      <c r="D296">
        <v>855.95</v>
      </c>
      <c r="E296" s="1">
        <v>1472.1</v>
      </c>
      <c r="F296">
        <v>364.33</v>
      </c>
    </row>
    <row r="297" spans="1:6" x14ac:dyDescent="0.35">
      <c r="A297" s="2">
        <v>44995</v>
      </c>
      <c r="B297" s="1">
        <v>1054.3399999999999</v>
      </c>
      <c r="C297" s="1">
        <v>3315.64</v>
      </c>
      <c r="D297">
        <v>842.65</v>
      </c>
      <c r="E297" s="1">
        <v>1463.3</v>
      </c>
      <c r="F297">
        <v>364.81</v>
      </c>
    </row>
    <row r="298" spans="1:6" x14ac:dyDescent="0.35">
      <c r="A298" s="2">
        <v>44998</v>
      </c>
      <c r="B298" s="1">
        <v>1037</v>
      </c>
      <c r="C298" s="1">
        <v>3266.81</v>
      </c>
      <c r="D298">
        <v>828.4</v>
      </c>
      <c r="E298" s="1">
        <v>1427.06</v>
      </c>
      <c r="F298">
        <v>360.72</v>
      </c>
    </row>
    <row r="299" spans="1:6" x14ac:dyDescent="0.35">
      <c r="A299" s="2">
        <v>44999</v>
      </c>
      <c r="B299" s="1">
        <v>1033.1199999999999</v>
      </c>
      <c r="C299" s="1">
        <v>3200.12</v>
      </c>
      <c r="D299">
        <v>830.35</v>
      </c>
      <c r="E299" s="1">
        <v>1412.04</v>
      </c>
      <c r="F299">
        <v>357</v>
      </c>
    </row>
    <row r="300" spans="1:6" x14ac:dyDescent="0.35">
      <c r="A300" s="2">
        <v>45000</v>
      </c>
      <c r="B300" s="1">
        <v>1015.46</v>
      </c>
      <c r="C300" s="1">
        <v>3184.15</v>
      </c>
      <c r="D300">
        <v>825.9</v>
      </c>
      <c r="E300" s="1">
        <v>1411.69</v>
      </c>
      <c r="F300">
        <v>356.72</v>
      </c>
    </row>
    <row r="301" spans="1:6" x14ac:dyDescent="0.35">
      <c r="A301" s="2">
        <v>45001</v>
      </c>
      <c r="B301" s="1">
        <v>1010.4</v>
      </c>
      <c r="C301" s="1">
        <v>3170.31</v>
      </c>
      <c r="D301">
        <v>823.9</v>
      </c>
      <c r="E301" s="1">
        <v>1396.23</v>
      </c>
      <c r="F301">
        <v>358.65</v>
      </c>
    </row>
    <row r="302" spans="1:6" x14ac:dyDescent="0.35">
      <c r="A302" s="2">
        <v>45002</v>
      </c>
      <c r="B302" s="1">
        <v>1009.13</v>
      </c>
      <c r="C302" s="1">
        <v>3164.64</v>
      </c>
      <c r="D302">
        <v>836.25</v>
      </c>
      <c r="E302" s="1">
        <v>1412.74</v>
      </c>
      <c r="F302">
        <v>353.1</v>
      </c>
    </row>
    <row r="303" spans="1:6" x14ac:dyDescent="0.35">
      <c r="A303" s="2">
        <v>45005</v>
      </c>
      <c r="B303">
        <v>999.21</v>
      </c>
      <c r="C303" s="1">
        <v>3128.8</v>
      </c>
      <c r="D303">
        <v>836.45</v>
      </c>
      <c r="E303" s="1">
        <v>1395.78</v>
      </c>
      <c r="F303">
        <v>356.16</v>
      </c>
    </row>
    <row r="304" spans="1:6" x14ac:dyDescent="0.35">
      <c r="A304" s="2">
        <v>45006</v>
      </c>
      <c r="B304" s="1">
        <v>1030.28</v>
      </c>
      <c r="C304" s="1">
        <v>3091.77</v>
      </c>
      <c r="D304">
        <v>852.4</v>
      </c>
      <c r="E304" s="1">
        <v>1382.91</v>
      </c>
      <c r="F304">
        <v>354.42</v>
      </c>
    </row>
    <row r="305" spans="1:6" x14ac:dyDescent="0.35">
      <c r="A305" s="2">
        <v>45007</v>
      </c>
      <c r="B305" s="1">
        <v>1033.42</v>
      </c>
      <c r="C305" s="1">
        <v>3116.36</v>
      </c>
      <c r="D305">
        <v>860.2</v>
      </c>
      <c r="E305" s="1">
        <v>1381.46</v>
      </c>
      <c r="F305">
        <v>355.17</v>
      </c>
    </row>
    <row r="306" spans="1:6" x14ac:dyDescent="0.35">
      <c r="A306" s="2">
        <v>45008</v>
      </c>
      <c r="B306" s="1">
        <v>1020.34</v>
      </c>
      <c r="C306" s="1">
        <v>3110.24</v>
      </c>
      <c r="D306">
        <v>855.45</v>
      </c>
      <c r="E306" s="1">
        <v>1366.85</v>
      </c>
      <c r="F306">
        <v>357.89</v>
      </c>
    </row>
    <row r="307" spans="1:6" x14ac:dyDescent="0.35">
      <c r="A307" s="2">
        <v>45009</v>
      </c>
      <c r="B307" s="1">
        <v>1000.14</v>
      </c>
      <c r="C307" s="1">
        <v>3106.11</v>
      </c>
      <c r="D307">
        <v>852.4</v>
      </c>
      <c r="E307" s="1">
        <v>1372.91</v>
      </c>
      <c r="F307">
        <v>356.06</v>
      </c>
    </row>
    <row r="308" spans="1:6" x14ac:dyDescent="0.35">
      <c r="A308" s="2">
        <v>45012</v>
      </c>
      <c r="B308" s="1">
        <v>1015.69</v>
      </c>
      <c r="C308" s="1">
        <v>3107.9</v>
      </c>
      <c r="D308">
        <v>848.7</v>
      </c>
      <c r="E308" s="1">
        <v>1381.17</v>
      </c>
      <c r="F308">
        <v>357.47</v>
      </c>
    </row>
    <row r="309" spans="1:6" x14ac:dyDescent="0.35">
      <c r="A309" s="2">
        <v>45013</v>
      </c>
      <c r="B309" s="1">
        <v>1020.43</v>
      </c>
      <c r="C309" s="1">
        <v>3101.53</v>
      </c>
      <c r="D309">
        <v>854.75</v>
      </c>
      <c r="E309" s="1">
        <v>1369.88</v>
      </c>
      <c r="F309">
        <v>357.05</v>
      </c>
    </row>
    <row r="310" spans="1:6" x14ac:dyDescent="0.35">
      <c r="A310" s="2">
        <v>45014</v>
      </c>
      <c r="B310" s="1">
        <v>1014.4</v>
      </c>
      <c r="C310" s="1">
        <v>3124.42</v>
      </c>
      <c r="D310">
        <v>851</v>
      </c>
      <c r="E310" s="1">
        <v>1375.8</v>
      </c>
      <c r="F310">
        <v>359.87</v>
      </c>
    </row>
    <row r="311" spans="1:6" x14ac:dyDescent="0.35">
      <c r="A311" s="2">
        <v>45016</v>
      </c>
      <c r="B311" s="1">
        <v>1058.1300000000001</v>
      </c>
      <c r="C311" s="1">
        <v>3191.11</v>
      </c>
      <c r="D311">
        <v>877.25</v>
      </c>
      <c r="E311" s="1">
        <v>1419.95</v>
      </c>
      <c r="F311">
        <v>360.58</v>
      </c>
    </row>
    <row r="312" spans="1:6" x14ac:dyDescent="0.35">
      <c r="A312" s="2">
        <v>45019</v>
      </c>
      <c r="B312" s="1">
        <v>1058.31</v>
      </c>
      <c r="C312" s="1">
        <v>3185.24</v>
      </c>
      <c r="D312">
        <v>883.8</v>
      </c>
      <c r="E312" s="1">
        <v>1402.94</v>
      </c>
      <c r="F312">
        <v>356.25</v>
      </c>
    </row>
    <row r="313" spans="1:6" x14ac:dyDescent="0.35">
      <c r="A313" s="2">
        <v>45021</v>
      </c>
      <c r="B313" s="1">
        <v>1055.77</v>
      </c>
      <c r="C313" s="1">
        <v>3224.86</v>
      </c>
      <c r="D313">
        <v>884.6</v>
      </c>
      <c r="E313" s="1">
        <v>1415.57</v>
      </c>
      <c r="F313">
        <v>363.3</v>
      </c>
    </row>
    <row r="314" spans="1:6" x14ac:dyDescent="0.35">
      <c r="A314" s="2">
        <v>45022</v>
      </c>
      <c r="B314" s="1">
        <v>1062.8499999999999</v>
      </c>
      <c r="C314" s="1">
        <v>3205.85</v>
      </c>
      <c r="D314">
        <v>875</v>
      </c>
      <c r="E314" s="1">
        <v>1413.93</v>
      </c>
      <c r="F314">
        <v>364.19</v>
      </c>
    </row>
    <row r="315" spans="1:6" x14ac:dyDescent="0.35">
      <c r="A315" s="2">
        <v>45026</v>
      </c>
      <c r="B315" s="1">
        <v>1055.32</v>
      </c>
      <c r="C315" s="1">
        <v>3248.35</v>
      </c>
      <c r="D315">
        <v>868.45</v>
      </c>
      <c r="E315" s="1">
        <v>1419.6</v>
      </c>
      <c r="F315">
        <v>365.32</v>
      </c>
    </row>
    <row r="316" spans="1:6" x14ac:dyDescent="0.35">
      <c r="A316" s="2">
        <v>45027</v>
      </c>
      <c r="B316" s="1">
        <v>1060.54</v>
      </c>
      <c r="C316" s="1">
        <v>3198.98</v>
      </c>
      <c r="D316">
        <v>881.9</v>
      </c>
      <c r="E316" s="1">
        <v>1398.27</v>
      </c>
      <c r="F316">
        <v>372.33</v>
      </c>
    </row>
    <row r="317" spans="1:6" x14ac:dyDescent="0.35">
      <c r="A317" s="2">
        <v>45028</v>
      </c>
      <c r="B317" s="1">
        <v>1065.21</v>
      </c>
      <c r="C317" s="1">
        <v>3226.7</v>
      </c>
      <c r="D317">
        <v>890.15</v>
      </c>
      <c r="E317" s="1">
        <v>1420.3</v>
      </c>
      <c r="F317">
        <v>370.02</v>
      </c>
    </row>
    <row r="318" spans="1:6" x14ac:dyDescent="0.35">
      <c r="A318" s="2">
        <v>45029</v>
      </c>
      <c r="B318" s="1">
        <v>1069.23</v>
      </c>
      <c r="C318" s="1">
        <v>3174.14</v>
      </c>
      <c r="D318">
        <v>899</v>
      </c>
      <c r="E318" s="1">
        <v>1381.42</v>
      </c>
      <c r="F318">
        <v>371.95</v>
      </c>
    </row>
    <row r="319" spans="1:6" x14ac:dyDescent="0.35">
      <c r="A319" s="2">
        <v>45033</v>
      </c>
      <c r="B319" s="1">
        <v>1074.6600000000001</v>
      </c>
      <c r="C319" s="1">
        <v>3125.02</v>
      </c>
      <c r="D319">
        <v>901.3</v>
      </c>
      <c r="E319" s="1">
        <v>1251.25</v>
      </c>
      <c r="F319">
        <v>376.23</v>
      </c>
    </row>
    <row r="320" spans="1:6" x14ac:dyDescent="0.35">
      <c r="A320" s="2">
        <v>45034</v>
      </c>
      <c r="B320" s="1">
        <v>1062.3499999999999</v>
      </c>
      <c r="C320" s="1">
        <v>3116.31</v>
      </c>
      <c r="D320">
        <v>896.85</v>
      </c>
      <c r="E320" s="1">
        <v>1252.29</v>
      </c>
      <c r="F320">
        <v>374.68</v>
      </c>
    </row>
    <row r="321" spans="1:6" x14ac:dyDescent="0.35">
      <c r="A321" s="2">
        <v>45035</v>
      </c>
      <c r="B321" s="1">
        <v>1067.6400000000001</v>
      </c>
      <c r="C321" s="1">
        <v>3075.35</v>
      </c>
      <c r="D321">
        <v>891.9</v>
      </c>
      <c r="E321" s="1">
        <v>1225.3</v>
      </c>
      <c r="F321">
        <v>374.91</v>
      </c>
    </row>
    <row r="322" spans="1:6" x14ac:dyDescent="0.35">
      <c r="A322" s="2">
        <v>45036</v>
      </c>
      <c r="B322" s="1">
        <v>1064.94</v>
      </c>
      <c r="C322" s="1">
        <v>3090.48</v>
      </c>
      <c r="D322">
        <v>894.4</v>
      </c>
      <c r="E322" s="1">
        <v>1216.54</v>
      </c>
      <c r="F322">
        <v>376.37</v>
      </c>
    </row>
    <row r="323" spans="1:6" x14ac:dyDescent="0.35">
      <c r="A323" s="2">
        <v>45037</v>
      </c>
      <c r="B323" s="1">
        <v>1066.28</v>
      </c>
      <c r="C323" s="1">
        <v>3146.27</v>
      </c>
      <c r="D323">
        <v>885.65</v>
      </c>
      <c r="E323" s="1">
        <v>1220.47</v>
      </c>
      <c r="F323">
        <v>383.85</v>
      </c>
    </row>
    <row r="324" spans="1:6" x14ac:dyDescent="0.35">
      <c r="A324" s="2">
        <v>45040</v>
      </c>
      <c r="B324" s="1">
        <v>1070.3699999999999</v>
      </c>
      <c r="C324" s="1">
        <v>3160.16</v>
      </c>
      <c r="D324">
        <v>904.75</v>
      </c>
      <c r="E324" s="1">
        <v>1219.43</v>
      </c>
      <c r="F324">
        <v>384.27</v>
      </c>
    </row>
    <row r="325" spans="1:6" x14ac:dyDescent="0.35">
      <c r="A325" s="2">
        <v>45041</v>
      </c>
      <c r="B325" s="1">
        <v>1078.56</v>
      </c>
      <c r="C325" s="1">
        <v>3161.35</v>
      </c>
      <c r="D325">
        <v>913.45</v>
      </c>
      <c r="E325" s="1">
        <v>1218.04</v>
      </c>
      <c r="F325">
        <v>386.95</v>
      </c>
    </row>
    <row r="326" spans="1:6" x14ac:dyDescent="0.35">
      <c r="A326" s="2">
        <v>45042</v>
      </c>
      <c r="B326" s="1">
        <v>1072.23</v>
      </c>
      <c r="C326" s="1">
        <v>3183.4</v>
      </c>
      <c r="D326">
        <v>914.95</v>
      </c>
      <c r="E326" s="1">
        <v>1220.67</v>
      </c>
      <c r="F326">
        <v>387.61</v>
      </c>
    </row>
    <row r="327" spans="1:6" x14ac:dyDescent="0.35">
      <c r="A327" s="2">
        <v>45043</v>
      </c>
      <c r="B327" s="1">
        <v>1079.01</v>
      </c>
      <c r="C327" s="1">
        <v>3173.25</v>
      </c>
      <c r="D327">
        <v>918.35</v>
      </c>
      <c r="E327" s="1">
        <v>1239.27</v>
      </c>
      <c r="F327">
        <v>391.13</v>
      </c>
    </row>
    <row r="328" spans="1:6" x14ac:dyDescent="0.35">
      <c r="A328" s="2">
        <v>45044</v>
      </c>
      <c r="B328" s="1">
        <v>1098.74</v>
      </c>
      <c r="C328" s="1">
        <v>3204.4</v>
      </c>
      <c r="D328">
        <v>917.65</v>
      </c>
      <c r="E328" s="1">
        <v>1245.73</v>
      </c>
      <c r="F328">
        <v>400.11</v>
      </c>
    </row>
    <row r="329" spans="1:6" x14ac:dyDescent="0.35">
      <c r="A329" s="2">
        <v>45048</v>
      </c>
      <c r="B329" s="1">
        <v>1108.06</v>
      </c>
      <c r="C329" s="1">
        <v>3204.55</v>
      </c>
      <c r="D329">
        <v>922.1</v>
      </c>
      <c r="E329" s="1">
        <v>1270.29</v>
      </c>
      <c r="F329">
        <v>399.08</v>
      </c>
    </row>
    <row r="330" spans="1:6" x14ac:dyDescent="0.35">
      <c r="A330" s="2">
        <v>45049</v>
      </c>
      <c r="B330" s="1">
        <v>1098.55</v>
      </c>
      <c r="C330" s="1">
        <v>3165.23</v>
      </c>
      <c r="D330">
        <v>922.85</v>
      </c>
      <c r="E330" s="1">
        <v>1262.04</v>
      </c>
      <c r="F330">
        <v>401.61</v>
      </c>
    </row>
    <row r="331" spans="1:6" x14ac:dyDescent="0.35">
      <c r="A331" s="2">
        <v>45050</v>
      </c>
      <c r="B331" s="1">
        <v>1111.22</v>
      </c>
      <c r="C331" s="1">
        <v>3205.85</v>
      </c>
      <c r="D331">
        <v>921.7</v>
      </c>
      <c r="E331" s="1">
        <v>1266.4100000000001</v>
      </c>
      <c r="F331">
        <v>399.22</v>
      </c>
    </row>
    <row r="332" spans="1:6" x14ac:dyDescent="0.35">
      <c r="A332" s="2">
        <v>45051</v>
      </c>
      <c r="B332" s="1">
        <v>1108.3800000000001</v>
      </c>
      <c r="C332" s="1">
        <v>3215.8</v>
      </c>
      <c r="D332">
        <v>926.95</v>
      </c>
      <c r="E332" s="1">
        <v>1252.04</v>
      </c>
      <c r="F332">
        <v>403.12</v>
      </c>
    </row>
    <row r="333" spans="1:6" x14ac:dyDescent="0.35">
      <c r="A333" s="2">
        <v>45054</v>
      </c>
      <c r="B333" s="1">
        <v>1122.07</v>
      </c>
      <c r="C333" s="1">
        <v>3235.61</v>
      </c>
      <c r="D333">
        <v>937.9</v>
      </c>
      <c r="E333" s="1">
        <v>1258.51</v>
      </c>
      <c r="F333">
        <v>405.66</v>
      </c>
    </row>
    <row r="334" spans="1:6" x14ac:dyDescent="0.35">
      <c r="A334" s="2">
        <v>45055</v>
      </c>
      <c r="B334" s="1">
        <v>1125.54</v>
      </c>
      <c r="C334" s="1">
        <v>3268.11</v>
      </c>
      <c r="D334">
        <v>934.4</v>
      </c>
      <c r="E334" s="1">
        <v>1263.58</v>
      </c>
      <c r="F334">
        <v>398.46</v>
      </c>
    </row>
    <row r="335" spans="1:6" x14ac:dyDescent="0.35">
      <c r="A335" s="2">
        <v>45056</v>
      </c>
      <c r="B335" s="1">
        <v>1133.28</v>
      </c>
      <c r="C335" s="1">
        <v>3271.64</v>
      </c>
      <c r="D335">
        <v>936.05</v>
      </c>
      <c r="E335" s="1">
        <v>1256.17</v>
      </c>
      <c r="F335">
        <v>399.92</v>
      </c>
    </row>
    <row r="336" spans="1:6" x14ac:dyDescent="0.35">
      <c r="A336" s="2">
        <v>45057</v>
      </c>
      <c r="B336" s="1">
        <v>1125.8800000000001</v>
      </c>
      <c r="C336" s="1">
        <v>3267.01</v>
      </c>
      <c r="D336">
        <v>939.2</v>
      </c>
      <c r="E336" s="1">
        <v>1249.06</v>
      </c>
      <c r="F336">
        <v>395.27</v>
      </c>
    </row>
    <row r="337" spans="1:6" x14ac:dyDescent="0.35">
      <c r="A337" s="2">
        <v>45058</v>
      </c>
      <c r="B337" s="1">
        <v>1127.72</v>
      </c>
      <c r="C337" s="1">
        <v>3259.2</v>
      </c>
      <c r="D337">
        <v>943.9</v>
      </c>
      <c r="E337" s="1">
        <v>1238.22</v>
      </c>
      <c r="F337">
        <v>395.32</v>
      </c>
    </row>
    <row r="338" spans="1:6" x14ac:dyDescent="0.35">
      <c r="A338" s="2">
        <v>45061</v>
      </c>
      <c r="B338" s="1">
        <v>1129.94</v>
      </c>
      <c r="C338" s="1">
        <v>3240.04</v>
      </c>
      <c r="D338">
        <v>945.75</v>
      </c>
      <c r="E338" s="1">
        <v>1251.3</v>
      </c>
      <c r="F338">
        <v>402.23</v>
      </c>
    </row>
    <row r="339" spans="1:6" x14ac:dyDescent="0.35">
      <c r="A339" s="2">
        <v>45062</v>
      </c>
      <c r="B339" s="1">
        <v>1113.8499999999999</v>
      </c>
      <c r="C339" s="1">
        <v>3243.12</v>
      </c>
      <c r="D339">
        <v>946.35</v>
      </c>
      <c r="E339" s="1">
        <v>1257.21</v>
      </c>
      <c r="F339">
        <v>398.61</v>
      </c>
    </row>
    <row r="340" spans="1:6" x14ac:dyDescent="0.35">
      <c r="A340" s="2">
        <v>45063</v>
      </c>
      <c r="B340" s="1">
        <v>1107.27</v>
      </c>
      <c r="C340" s="1">
        <v>3193.9</v>
      </c>
      <c r="D340">
        <v>939.35</v>
      </c>
      <c r="E340" s="1">
        <v>1239.9100000000001</v>
      </c>
      <c r="F340">
        <v>402.04</v>
      </c>
    </row>
    <row r="341" spans="1:6" x14ac:dyDescent="0.35">
      <c r="A341" s="2">
        <v>45064</v>
      </c>
      <c r="B341" s="1">
        <v>1104.8900000000001</v>
      </c>
      <c r="C341" s="1">
        <v>3185.09</v>
      </c>
      <c r="D341">
        <v>946.5</v>
      </c>
      <c r="E341" s="1">
        <v>1239.02</v>
      </c>
      <c r="F341">
        <v>394.61</v>
      </c>
    </row>
    <row r="342" spans="1:6" x14ac:dyDescent="0.35">
      <c r="A342" s="2">
        <v>45065</v>
      </c>
      <c r="B342" s="1">
        <v>1108.47</v>
      </c>
      <c r="C342" s="1">
        <v>3207.99</v>
      </c>
      <c r="D342">
        <v>954.3</v>
      </c>
      <c r="E342" s="1">
        <v>1261.79</v>
      </c>
      <c r="F342">
        <v>394.75</v>
      </c>
    </row>
    <row r="343" spans="1:6" x14ac:dyDescent="0.35">
      <c r="A343" s="2">
        <v>45068</v>
      </c>
      <c r="B343" s="1">
        <v>1114.4000000000001</v>
      </c>
      <c r="C343" s="1">
        <v>3283.49</v>
      </c>
      <c r="D343">
        <v>950.35</v>
      </c>
      <c r="E343" s="1">
        <v>1285.56</v>
      </c>
      <c r="F343">
        <v>399.36</v>
      </c>
    </row>
    <row r="344" spans="1:6" x14ac:dyDescent="0.35">
      <c r="A344" s="2">
        <v>45069</v>
      </c>
      <c r="B344" s="1">
        <v>1114.19</v>
      </c>
      <c r="C344" s="1">
        <v>3281.84</v>
      </c>
      <c r="D344">
        <v>953.4</v>
      </c>
      <c r="E344" s="1">
        <v>1292.77</v>
      </c>
      <c r="F344">
        <v>403.5</v>
      </c>
    </row>
    <row r="345" spans="1:6" x14ac:dyDescent="0.35">
      <c r="A345" s="2">
        <v>45070</v>
      </c>
      <c r="B345" s="1">
        <v>1107.7</v>
      </c>
      <c r="C345" s="1">
        <v>3288.11</v>
      </c>
      <c r="D345">
        <v>940.65</v>
      </c>
      <c r="E345" s="1">
        <v>1291.3699999999999</v>
      </c>
      <c r="F345">
        <v>407.59</v>
      </c>
    </row>
    <row r="346" spans="1:6" x14ac:dyDescent="0.35">
      <c r="A346" s="2">
        <v>45071</v>
      </c>
      <c r="B346" s="1">
        <v>1107.57</v>
      </c>
      <c r="C346" s="1">
        <v>3278.31</v>
      </c>
      <c r="D346">
        <v>939.85</v>
      </c>
      <c r="E346" s="1">
        <v>1297.04</v>
      </c>
      <c r="F346">
        <v>414.78</v>
      </c>
    </row>
    <row r="347" spans="1:6" x14ac:dyDescent="0.35">
      <c r="A347" s="2">
        <v>45072</v>
      </c>
      <c r="B347" s="1">
        <v>1137.77</v>
      </c>
      <c r="C347" s="1">
        <v>3313.55</v>
      </c>
      <c r="D347">
        <v>950.7</v>
      </c>
      <c r="E347" s="1">
        <v>1310.07</v>
      </c>
      <c r="F347">
        <v>417.08</v>
      </c>
    </row>
    <row r="348" spans="1:6" x14ac:dyDescent="0.35">
      <c r="A348" s="2">
        <v>45075</v>
      </c>
      <c r="B348" s="1">
        <v>1144.17</v>
      </c>
      <c r="C348" s="1">
        <v>3305.04</v>
      </c>
      <c r="D348">
        <v>948.15</v>
      </c>
      <c r="E348" s="1">
        <v>1307.03</v>
      </c>
      <c r="F348">
        <v>422.25</v>
      </c>
    </row>
    <row r="349" spans="1:6" x14ac:dyDescent="0.35">
      <c r="A349" s="2">
        <v>45076</v>
      </c>
      <c r="B349" s="1">
        <v>1143.8800000000001</v>
      </c>
      <c r="C349" s="1">
        <v>3300.91</v>
      </c>
      <c r="D349">
        <v>949.95</v>
      </c>
      <c r="E349" s="1">
        <v>1316.43</v>
      </c>
      <c r="F349">
        <v>425.61</v>
      </c>
    </row>
    <row r="350" spans="1:6" x14ac:dyDescent="0.35">
      <c r="A350" s="2">
        <v>45077</v>
      </c>
      <c r="B350" s="1">
        <v>1121.1600000000001</v>
      </c>
      <c r="C350" s="1">
        <v>3274.33</v>
      </c>
      <c r="D350">
        <v>949.15</v>
      </c>
      <c r="E350" s="1">
        <v>1310.91</v>
      </c>
      <c r="F350">
        <v>421.45</v>
      </c>
    </row>
    <row r="351" spans="1:6" x14ac:dyDescent="0.35">
      <c r="A351" s="2">
        <v>45078</v>
      </c>
      <c r="B351" s="1">
        <v>1118.1400000000001</v>
      </c>
      <c r="C351" s="1">
        <v>3308.67</v>
      </c>
      <c r="D351">
        <v>936.1</v>
      </c>
      <c r="E351" s="1">
        <v>1312.11</v>
      </c>
      <c r="F351">
        <v>415.96</v>
      </c>
    </row>
    <row r="352" spans="1:6" x14ac:dyDescent="0.35">
      <c r="A352" s="2">
        <v>45079</v>
      </c>
      <c r="B352" s="1">
        <v>1114.49</v>
      </c>
      <c r="C352" s="1">
        <v>3290.35</v>
      </c>
      <c r="D352">
        <v>938.15</v>
      </c>
      <c r="E352" s="1">
        <v>1291.72</v>
      </c>
      <c r="F352">
        <v>419.46</v>
      </c>
    </row>
    <row r="353" spans="1:6" x14ac:dyDescent="0.35">
      <c r="A353" s="2">
        <v>45082</v>
      </c>
      <c r="B353" s="1">
        <v>1124.5</v>
      </c>
      <c r="C353" s="1">
        <v>3273.73</v>
      </c>
      <c r="D353">
        <v>946.75</v>
      </c>
      <c r="E353" s="1">
        <v>1297.19</v>
      </c>
      <c r="F353">
        <v>416.86</v>
      </c>
    </row>
    <row r="354" spans="1:6" x14ac:dyDescent="0.35">
      <c r="A354" s="2">
        <v>45083</v>
      </c>
      <c r="B354" s="1">
        <v>1125.45</v>
      </c>
      <c r="C354" s="1">
        <v>3217.39</v>
      </c>
      <c r="D354">
        <v>942.1</v>
      </c>
      <c r="E354" s="1">
        <v>1271.83</v>
      </c>
      <c r="F354">
        <v>418.89</v>
      </c>
    </row>
    <row r="355" spans="1:6" x14ac:dyDescent="0.35">
      <c r="A355" s="2">
        <v>45084</v>
      </c>
      <c r="B355" s="1">
        <v>1133.98</v>
      </c>
      <c r="C355" s="1">
        <v>3259.8</v>
      </c>
      <c r="D355">
        <v>940.2</v>
      </c>
      <c r="E355" s="1">
        <v>1281.73</v>
      </c>
      <c r="F355">
        <v>419.98</v>
      </c>
    </row>
    <row r="356" spans="1:6" x14ac:dyDescent="0.35">
      <c r="A356" s="2">
        <v>45085</v>
      </c>
      <c r="B356" s="1">
        <v>1134.6600000000001</v>
      </c>
      <c r="C356" s="1">
        <v>3221.52</v>
      </c>
      <c r="D356">
        <v>937.9</v>
      </c>
      <c r="E356" s="1">
        <v>1275.6099999999999</v>
      </c>
      <c r="F356">
        <v>418.99</v>
      </c>
    </row>
    <row r="357" spans="1:6" x14ac:dyDescent="0.35">
      <c r="A357" s="2">
        <v>45086</v>
      </c>
      <c r="B357" s="1">
        <v>1126.6300000000001</v>
      </c>
      <c r="C357" s="1">
        <v>3194.5</v>
      </c>
      <c r="D357">
        <v>938.05</v>
      </c>
      <c r="E357" s="1">
        <v>1258.8599999999999</v>
      </c>
      <c r="F357">
        <v>414.78</v>
      </c>
    </row>
    <row r="358" spans="1:6" x14ac:dyDescent="0.35">
      <c r="A358" s="2">
        <v>45089</v>
      </c>
      <c r="B358" s="1">
        <v>1127.6300000000001</v>
      </c>
      <c r="C358" s="1">
        <v>3231.93</v>
      </c>
      <c r="D358">
        <v>935.95</v>
      </c>
      <c r="E358" s="1">
        <v>1284.71</v>
      </c>
      <c r="F358">
        <v>413.36</v>
      </c>
    </row>
    <row r="359" spans="1:6" x14ac:dyDescent="0.35">
      <c r="A359" s="2">
        <v>45090</v>
      </c>
      <c r="B359" s="1">
        <v>1144.29</v>
      </c>
      <c r="C359" s="1">
        <v>3228.74</v>
      </c>
      <c r="D359">
        <v>943.55</v>
      </c>
      <c r="E359" s="1">
        <v>1297.54</v>
      </c>
      <c r="F359">
        <v>421.35</v>
      </c>
    </row>
    <row r="360" spans="1:6" x14ac:dyDescent="0.35">
      <c r="A360" s="2">
        <v>45091</v>
      </c>
      <c r="B360" s="1">
        <v>1158.3599999999999</v>
      </c>
      <c r="C360" s="1">
        <v>3236.06</v>
      </c>
      <c r="D360">
        <v>939.8</v>
      </c>
      <c r="E360" s="1">
        <v>1293.1099999999999</v>
      </c>
      <c r="F360">
        <v>420.5</v>
      </c>
    </row>
    <row r="361" spans="1:6" x14ac:dyDescent="0.35">
      <c r="A361" s="2">
        <v>45092</v>
      </c>
      <c r="B361" s="1">
        <v>1158.68</v>
      </c>
      <c r="C361" s="1">
        <v>3201.47</v>
      </c>
      <c r="D361">
        <v>926.6</v>
      </c>
      <c r="E361" s="1">
        <v>1279.5899999999999</v>
      </c>
      <c r="F361">
        <v>423.91</v>
      </c>
    </row>
    <row r="362" spans="1:6" x14ac:dyDescent="0.35">
      <c r="A362" s="2">
        <v>45093</v>
      </c>
      <c r="B362" s="1">
        <v>1169.96</v>
      </c>
      <c r="C362" s="1">
        <v>3160.26</v>
      </c>
      <c r="D362">
        <v>934.2</v>
      </c>
      <c r="E362" s="1">
        <v>1284.4100000000001</v>
      </c>
      <c r="F362">
        <v>428.64</v>
      </c>
    </row>
    <row r="363" spans="1:6" x14ac:dyDescent="0.35">
      <c r="A363" s="2">
        <v>45096</v>
      </c>
      <c r="B363" s="1">
        <v>1158.3399999999999</v>
      </c>
      <c r="C363" s="1">
        <v>3195.59</v>
      </c>
      <c r="D363">
        <v>923.15</v>
      </c>
      <c r="E363" s="1">
        <v>1286.75</v>
      </c>
      <c r="F363">
        <v>429.11</v>
      </c>
    </row>
    <row r="364" spans="1:6" x14ac:dyDescent="0.35">
      <c r="A364" s="2">
        <v>45097</v>
      </c>
      <c r="B364" s="1">
        <v>1160.74</v>
      </c>
      <c r="C364" s="1">
        <v>3212.81</v>
      </c>
      <c r="D364">
        <v>925.55</v>
      </c>
      <c r="E364" s="1">
        <v>1296.0999999999999</v>
      </c>
      <c r="F364">
        <v>428.4</v>
      </c>
    </row>
    <row r="365" spans="1:6" x14ac:dyDescent="0.35">
      <c r="A365" s="2">
        <v>45098</v>
      </c>
      <c r="B365" s="1">
        <v>1164.01</v>
      </c>
      <c r="C365" s="1">
        <v>3243.17</v>
      </c>
      <c r="D365">
        <v>924.7</v>
      </c>
      <c r="E365" s="1">
        <v>1292.07</v>
      </c>
      <c r="F365">
        <v>422.92</v>
      </c>
    </row>
    <row r="366" spans="1:6" x14ac:dyDescent="0.35">
      <c r="A366" s="2">
        <v>45099</v>
      </c>
      <c r="B366" s="1">
        <v>1150.94</v>
      </c>
      <c r="C366" s="1">
        <v>3223.56</v>
      </c>
      <c r="D366">
        <v>925.75</v>
      </c>
      <c r="E366" s="1">
        <v>1274.3699999999999</v>
      </c>
      <c r="F366">
        <v>423.48</v>
      </c>
    </row>
    <row r="367" spans="1:6" x14ac:dyDescent="0.35">
      <c r="A367" s="2">
        <v>45100</v>
      </c>
      <c r="B367" s="1">
        <v>1141.52</v>
      </c>
      <c r="C367" s="1">
        <v>3201.52</v>
      </c>
      <c r="D367">
        <v>923.5</v>
      </c>
      <c r="E367" s="1">
        <v>1257.9100000000001</v>
      </c>
      <c r="F367">
        <v>420.74</v>
      </c>
    </row>
    <row r="368" spans="1:6" x14ac:dyDescent="0.35">
      <c r="A368" s="2">
        <v>45103</v>
      </c>
      <c r="B368" s="1">
        <v>1132.8</v>
      </c>
      <c r="C368" s="1">
        <v>3174.94</v>
      </c>
      <c r="D368">
        <v>927.45</v>
      </c>
      <c r="E368" s="1">
        <v>1263.23</v>
      </c>
      <c r="F368">
        <v>421.64</v>
      </c>
    </row>
    <row r="369" spans="1:6" x14ac:dyDescent="0.35">
      <c r="A369" s="2">
        <v>45104</v>
      </c>
      <c r="B369" s="1">
        <v>1133.21</v>
      </c>
      <c r="C369" s="1">
        <v>3182.6</v>
      </c>
      <c r="D369">
        <v>936.1</v>
      </c>
      <c r="E369" s="1">
        <v>1271.98</v>
      </c>
      <c r="F369">
        <v>421.07</v>
      </c>
    </row>
    <row r="370" spans="1:6" x14ac:dyDescent="0.35">
      <c r="A370" s="2">
        <v>45105</v>
      </c>
      <c r="B370" s="1">
        <v>1148.21</v>
      </c>
      <c r="C370" s="1">
        <v>3200.62</v>
      </c>
      <c r="D370">
        <v>937.45</v>
      </c>
      <c r="E370" s="1">
        <v>1286.0999999999999</v>
      </c>
      <c r="F370">
        <v>425.09</v>
      </c>
    </row>
    <row r="371" spans="1:6" x14ac:dyDescent="0.35">
      <c r="A371" s="2">
        <v>45107</v>
      </c>
      <c r="B371" s="1">
        <v>1157.6300000000001</v>
      </c>
      <c r="C371" s="1">
        <v>3287.02</v>
      </c>
      <c r="D371">
        <v>934.6</v>
      </c>
      <c r="E371" s="1">
        <v>1328.02</v>
      </c>
      <c r="F371">
        <v>427.22</v>
      </c>
    </row>
    <row r="372" spans="1:6" x14ac:dyDescent="0.35">
      <c r="A372" s="2">
        <v>45110</v>
      </c>
      <c r="B372" s="1">
        <v>1187.3399999999999</v>
      </c>
      <c r="C372" s="1">
        <v>3257.21</v>
      </c>
      <c r="D372">
        <v>942.55</v>
      </c>
      <c r="E372" s="1">
        <v>1326.23</v>
      </c>
      <c r="F372">
        <v>438.24</v>
      </c>
    </row>
    <row r="373" spans="1:6" x14ac:dyDescent="0.35">
      <c r="A373" s="2">
        <v>45111</v>
      </c>
      <c r="B373" s="1">
        <v>1175.1099999999999</v>
      </c>
      <c r="C373" s="1">
        <v>3293.59</v>
      </c>
      <c r="D373">
        <v>944.7</v>
      </c>
      <c r="E373" s="1">
        <v>1337.61</v>
      </c>
      <c r="F373">
        <v>441.17</v>
      </c>
    </row>
    <row r="374" spans="1:6" x14ac:dyDescent="0.35">
      <c r="A374" s="2">
        <v>45112</v>
      </c>
      <c r="B374" s="1">
        <v>1173.18</v>
      </c>
      <c r="C374" s="1">
        <v>3304.64</v>
      </c>
      <c r="D374">
        <v>958</v>
      </c>
      <c r="E374" s="1">
        <v>1339.75</v>
      </c>
      <c r="F374">
        <v>449.45</v>
      </c>
    </row>
    <row r="375" spans="1:6" x14ac:dyDescent="0.35">
      <c r="A375" s="2">
        <v>45113</v>
      </c>
      <c r="B375" s="1">
        <v>1197.81</v>
      </c>
      <c r="C375" s="1">
        <v>3307.57</v>
      </c>
      <c r="D375">
        <v>959.4</v>
      </c>
      <c r="E375" s="1">
        <v>1336.37</v>
      </c>
      <c r="F375">
        <v>448.32</v>
      </c>
    </row>
    <row r="376" spans="1:6" x14ac:dyDescent="0.35">
      <c r="A376" s="2">
        <v>45114</v>
      </c>
      <c r="B376" s="1">
        <v>1195.47</v>
      </c>
      <c r="C376" s="1">
        <v>3313.9</v>
      </c>
      <c r="D376">
        <v>946.4</v>
      </c>
      <c r="E376" s="1">
        <v>1322.75</v>
      </c>
      <c r="F376">
        <v>443.11</v>
      </c>
    </row>
    <row r="377" spans="1:6" x14ac:dyDescent="0.35">
      <c r="A377" s="2">
        <v>45117</v>
      </c>
      <c r="B377" s="1">
        <v>1241.52</v>
      </c>
      <c r="C377" s="1">
        <v>3256.86</v>
      </c>
      <c r="D377">
        <v>948.4</v>
      </c>
      <c r="E377" s="1">
        <v>1321.7</v>
      </c>
      <c r="F377">
        <v>440.7</v>
      </c>
    </row>
    <row r="378" spans="1:6" x14ac:dyDescent="0.35">
      <c r="A378" s="2">
        <v>45118</v>
      </c>
      <c r="B378" s="1">
        <v>1254.98</v>
      </c>
      <c r="C378" s="1">
        <v>3257.31</v>
      </c>
      <c r="D378">
        <v>944.95</v>
      </c>
      <c r="E378" s="1">
        <v>1341.04</v>
      </c>
      <c r="F378">
        <v>447.61</v>
      </c>
    </row>
    <row r="379" spans="1:6" x14ac:dyDescent="0.35">
      <c r="A379" s="2">
        <v>45119</v>
      </c>
      <c r="B379" s="1">
        <v>1256.3599999999999</v>
      </c>
      <c r="C379" s="1">
        <v>3244.86</v>
      </c>
      <c r="D379">
        <v>944.4</v>
      </c>
      <c r="E379" s="1">
        <v>1325.83</v>
      </c>
      <c r="F379">
        <v>446.8</v>
      </c>
    </row>
    <row r="380" spans="1:6" x14ac:dyDescent="0.35">
      <c r="A380" s="2">
        <v>45120</v>
      </c>
      <c r="B380" s="1">
        <v>1245.1300000000001</v>
      </c>
      <c r="C380" s="1">
        <v>3325.14</v>
      </c>
      <c r="D380">
        <v>955.7</v>
      </c>
      <c r="E380" s="1">
        <v>1357.45</v>
      </c>
      <c r="F380">
        <v>446.52</v>
      </c>
    </row>
    <row r="381" spans="1:6" x14ac:dyDescent="0.35">
      <c r="A381" s="2">
        <v>45121</v>
      </c>
      <c r="B381" s="1">
        <v>1244.08</v>
      </c>
      <c r="C381" s="1">
        <v>3498.44</v>
      </c>
      <c r="D381">
        <v>960.05</v>
      </c>
      <c r="E381" s="1">
        <v>1417.96</v>
      </c>
      <c r="F381">
        <v>447.37</v>
      </c>
    </row>
    <row r="382" spans="1:6" x14ac:dyDescent="0.35">
      <c r="A382" s="2">
        <v>45124</v>
      </c>
      <c r="B382" s="1">
        <v>1269.5</v>
      </c>
      <c r="C382" s="1">
        <v>3475.6</v>
      </c>
      <c r="D382">
        <v>968.7</v>
      </c>
      <c r="E382" s="1">
        <v>1414.98</v>
      </c>
      <c r="F382">
        <v>446.85</v>
      </c>
    </row>
    <row r="383" spans="1:6" x14ac:dyDescent="0.35">
      <c r="A383" s="2">
        <v>45125</v>
      </c>
      <c r="B383" s="1">
        <v>1280.29</v>
      </c>
      <c r="C383" s="1">
        <v>3480.72</v>
      </c>
      <c r="D383">
        <v>975.45</v>
      </c>
      <c r="E383" s="1">
        <v>1466.93</v>
      </c>
      <c r="F383">
        <v>446.99</v>
      </c>
    </row>
    <row r="384" spans="1:6" x14ac:dyDescent="0.35">
      <c r="A384" s="2">
        <v>45126</v>
      </c>
      <c r="B384" s="1">
        <v>1290</v>
      </c>
      <c r="C384" s="1">
        <v>3454.05</v>
      </c>
      <c r="D384">
        <v>973.45</v>
      </c>
      <c r="E384" s="1">
        <v>1466.68</v>
      </c>
      <c r="F384">
        <v>453</v>
      </c>
    </row>
    <row r="385" spans="1:6" x14ac:dyDescent="0.35">
      <c r="A385" s="2">
        <v>45127</v>
      </c>
      <c r="B385" s="1">
        <v>1309.93</v>
      </c>
      <c r="C385" s="1">
        <v>3447.33</v>
      </c>
      <c r="D385">
        <v>995.6</v>
      </c>
      <c r="E385" s="1">
        <v>1441.38</v>
      </c>
      <c r="F385">
        <v>465.58</v>
      </c>
    </row>
    <row r="386" spans="1:6" x14ac:dyDescent="0.35">
      <c r="A386" s="2">
        <v>45128</v>
      </c>
      <c r="B386" s="1">
        <v>1269.3800000000001</v>
      </c>
      <c r="C386" s="1">
        <v>3352.76</v>
      </c>
      <c r="D386">
        <v>997</v>
      </c>
      <c r="E386" s="1">
        <v>1324.14</v>
      </c>
      <c r="F386">
        <v>463.97</v>
      </c>
    </row>
    <row r="387" spans="1:6" x14ac:dyDescent="0.35">
      <c r="A387" s="2">
        <v>45131</v>
      </c>
      <c r="B387" s="1">
        <v>1243.7</v>
      </c>
      <c r="C387" s="1">
        <v>3379.09</v>
      </c>
      <c r="D387">
        <v>992</v>
      </c>
      <c r="E387" s="1">
        <v>1329.11</v>
      </c>
      <c r="F387">
        <v>445.9</v>
      </c>
    </row>
    <row r="388" spans="1:6" x14ac:dyDescent="0.35">
      <c r="A388" s="2">
        <v>45132</v>
      </c>
      <c r="B388" s="1">
        <v>1242.9000000000001</v>
      </c>
      <c r="C388" s="1">
        <v>3383.47</v>
      </c>
      <c r="D388">
        <v>994.7</v>
      </c>
      <c r="E388" s="1">
        <v>1327.12</v>
      </c>
      <c r="F388">
        <v>437.34</v>
      </c>
    </row>
    <row r="389" spans="1:6" x14ac:dyDescent="0.35">
      <c r="A389" s="2">
        <v>45133</v>
      </c>
      <c r="B389" s="1">
        <v>1263.0999999999999</v>
      </c>
      <c r="C389" s="1">
        <v>3372.67</v>
      </c>
      <c r="D389">
        <v>996.45</v>
      </c>
      <c r="E389" s="1">
        <v>1341.29</v>
      </c>
      <c r="F389">
        <v>446.76</v>
      </c>
    </row>
    <row r="390" spans="1:6" x14ac:dyDescent="0.35">
      <c r="A390" s="2">
        <v>45134</v>
      </c>
      <c r="B390" s="1">
        <v>1251.3499999999999</v>
      </c>
      <c r="C390" s="1">
        <v>3381.23</v>
      </c>
      <c r="D390">
        <v>990.25</v>
      </c>
      <c r="E390" s="1">
        <v>1345.57</v>
      </c>
      <c r="F390">
        <v>439.94</v>
      </c>
    </row>
    <row r="391" spans="1:6" x14ac:dyDescent="0.35">
      <c r="A391" s="2">
        <v>45135</v>
      </c>
      <c r="B391" s="1">
        <v>1263.93</v>
      </c>
      <c r="C391" s="1">
        <v>3339.93</v>
      </c>
      <c r="D391">
        <v>996.2</v>
      </c>
      <c r="E391" s="1">
        <v>1332.99</v>
      </c>
      <c r="F391">
        <v>443.16</v>
      </c>
    </row>
    <row r="392" spans="1:6" x14ac:dyDescent="0.35">
      <c r="A392" s="2">
        <v>45138</v>
      </c>
      <c r="B392" s="1">
        <v>1274.6300000000001</v>
      </c>
      <c r="C392" s="1">
        <v>3405.67</v>
      </c>
      <c r="D392">
        <v>998.3</v>
      </c>
      <c r="E392" s="1">
        <v>1348.1</v>
      </c>
      <c r="F392">
        <v>440.56</v>
      </c>
    </row>
    <row r="393" spans="1:6" x14ac:dyDescent="0.35">
      <c r="A393" s="2">
        <v>45139</v>
      </c>
      <c r="B393" s="1">
        <v>1256.5999999999999</v>
      </c>
      <c r="C393" s="1">
        <v>3436.13</v>
      </c>
      <c r="D393">
        <v>994.55</v>
      </c>
      <c r="E393" s="1">
        <v>1357.55</v>
      </c>
      <c r="F393">
        <v>439.71</v>
      </c>
    </row>
    <row r="394" spans="1:6" x14ac:dyDescent="0.35">
      <c r="A394" s="2">
        <v>45140</v>
      </c>
      <c r="B394" s="1">
        <v>1243.18</v>
      </c>
      <c r="C394" s="1">
        <v>3424.78</v>
      </c>
      <c r="D394">
        <v>986.95</v>
      </c>
      <c r="E394" s="1">
        <v>1349.25</v>
      </c>
      <c r="F394">
        <v>435.26</v>
      </c>
    </row>
    <row r="395" spans="1:6" x14ac:dyDescent="0.35">
      <c r="A395" s="2">
        <v>45141</v>
      </c>
      <c r="B395" s="1">
        <v>1237.95</v>
      </c>
      <c r="C395" s="1">
        <v>3384.27</v>
      </c>
      <c r="D395">
        <v>965</v>
      </c>
      <c r="E395" s="1">
        <v>1356.65</v>
      </c>
      <c r="F395">
        <v>431.43</v>
      </c>
    </row>
    <row r="396" spans="1:6" x14ac:dyDescent="0.35">
      <c r="A396" s="2">
        <v>45142</v>
      </c>
      <c r="B396" s="1">
        <v>1254.78</v>
      </c>
      <c r="C396" s="1">
        <v>3427.67</v>
      </c>
      <c r="D396">
        <v>970.5</v>
      </c>
      <c r="E396" s="1">
        <v>1370.63</v>
      </c>
      <c r="F396">
        <v>430.39</v>
      </c>
    </row>
    <row r="397" spans="1:6" x14ac:dyDescent="0.35">
      <c r="A397" s="2">
        <v>45145</v>
      </c>
      <c r="B397" s="1">
        <v>1261.93</v>
      </c>
      <c r="C397" s="1">
        <v>3467.98</v>
      </c>
      <c r="D397">
        <v>975.65</v>
      </c>
      <c r="E397" s="1">
        <v>1385.19</v>
      </c>
      <c r="F397">
        <v>430.34</v>
      </c>
    </row>
    <row r="398" spans="1:6" x14ac:dyDescent="0.35">
      <c r="A398" s="2">
        <v>45146</v>
      </c>
      <c r="B398" s="1">
        <v>1254.32</v>
      </c>
      <c r="C398" s="1">
        <v>3454.59</v>
      </c>
      <c r="D398">
        <v>979.9</v>
      </c>
      <c r="E398" s="1">
        <v>1382.41</v>
      </c>
      <c r="F398">
        <v>427.93</v>
      </c>
    </row>
    <row r="399" spans="1:6" x14ac:dyDescent="0.35">
      <c r="A399" s="2">
        <v>45147</v>
      </c>
      <c r="B399" s="1">
        <v>1262.5999999999999</v>
      </c>
      <c r="C399" s="1">
        <v>3446.53</v>
      </c>
      <c r="D399">
        <v>972.7</v>
      </c>
      <c r="E399" s="1">
        <v>1386.59</v>
      </c>
      <c r="F399">
        <v>433.89</v>
      </c>
    </row>
    <row r="400" spans="1:6" x14ac:dyDescent="0.35">
      <c r="A400" s="2">
        <v>45148</v>
      </c>
      <c r="B400" s="1">
        <v>1268.22</v>
      </c>
      <c r="C400" s="1">
        <v>3426.23</v>
      </c>
      <c r="D400">
        <v>964.1</v>
      </c>
      <c r="E400" s="1">
        <v>1381.31</v>
      </c>
      <c r="F400">
        <v>427.36</v>
      </c>
    </row>
    <row r="401" spans="1:6" x14ac:dyDescent="0.35">
      <c r="A401" s="2">
        <v>45149</v>
      </c>
      <c r="B401" s="1">
        <v>1273.57</v>
      </c>
      <c r="C401" s="1">
        <v>3432.89</v>
      </c>
      <c r="D401">
        <v>952.85</v>
      </c>
      <c r="E401" s="1">
        <v>1364.16</v>
      </c>
      <c r="F401">
        <v>424.52</v>
      </c>
    </row>
    <row r="402" spans="1:6" x14ac:dyDescent="0.35">
      <c r="A402" s="2">
        <v>45152</v>
      </c>
      <c r="B402" s="1">
        <v>1288.6300000000001</v>
      </c>
      <c r="C402" s="1">
        <v>3433.94</v>
      </c>
      <c r="D402">
        <v>959.55</v>
      </c>
      <c r="E402" s="1">
        <v>1385.74</v>
      </c>
      <c r="F402">
        <v>424.95</v>
      </c>
    </row>
    <row r="403" spans="1:6" x14ac:dyDescent="0.35">
      <c r="A403" s="2">
        <v>45154</v>
      </c>
      <c r="B403" s="1">
        <v>1287.57</v>
      </c>
      <c r="C403" s="1">
        <v>3442.45</v>
      </c>
      <c r="D403">
        <v>956.5</v>
      </c>
      <c r="E403" s="1">
        <v>1410.55</v>
      </c>
      <c r="F403">
        <v>425.94</v>
      </c>
    </row>
    <row r="404" spans="1:6" x14ac:dyDescent="0.35">
      <c r="A404" s="2">
        <v>45155</v>
      </c>
      <c r="B404" s="1">
        <v>1269</v>
      </c>
      <c r="C404" s="1">
        <v>3419.9</v>
      </c>
      <c r="D404">
        <v>951.65</v>
      </c>
      <c r="E404" s="1">
        <v>1403.64</v>
      </c>
      <c r="F404">
        <v>417.19</v>
      </c>
    </row>
    <row r="405" spans="1:6" x14ac:dyDescent="0.35">
      <c r="A405" s="2">
        <v>45156</v>
      </c>
      <c r="B405" s="1">
        <v>1278.4000000000001</v>
      </c>
      <c r="C405" s="1">
        <v>3351.57</v>
      </c>
      <c r="D405">
        <v>950.65</v>
      </c>
      <c r="E405" s="1">
        <v>1381.02</v>
      </c>
      <c r="F405">
        <v>417.81</v>
      </c>
    </row>
    <row r="406" spans="1:6" x14ac:dyDescent="0.35">
      <c r="A406" s="2">
        <v>45159</v>
      </c>
      <c r="B406" s="1">
        <v>1260</v>
      </c>
      <c r="C406" s="1">
        <v>3385.96</v>
      </c>
      <c r="D406">
        <v>955.2</v>
      </c>
      <c r="E406" s="1">
        <v>1397.52</v>
      </c>
      <c r="F406">
        <v>423.63</v>
      </c>
    </row>
    <row r="407" spans="1:6" x14ac:dyDescent="0.35">
      <c r="A407" s="2">
        <v>45160</v>
      </c>
      <c r="B407" s="1">
        <v>1259.7</v>
      </c>
      <c r="C407" s="1">
        <v>3366.55</v>
      </c>
      <c r="D407">
        <v>952</v>
      </c>
      <c r="E407" s="1">
        <v>1395.88</v>
      </c>
      <c r="F407">
        <v>429.73</v>
      </c>
    </row>
    <row r="408" spans="1:6" x14ac:dyDescent="0.35">
      <c r="A408" s="2">
        <v>45161</v>
      </c>
      <c r="B408" s="1">
        <v>1261.0999999999999</v>
      </c>
      <c r="C408" s="1">
        <v>3382.58</v>
      </c>
      <c r="D408">
        <v>966.85</v>
      </c>
      <c r="E408" s="1">
        <v>1400.06</v>
      </c>
      <c r="F408">
        <v>426.13</v>
      </c>
    </row>
    <row r="409" spans="1:6" x14ac:dyDescent="0.35">
      <c r="A409" s="2">
        <v>45162</v>
      </c>
      <c r="B409" s="1">
        <v>1239.9000000000001</v>
      </c>
      <c r="C409" s="1">
        <v>3372.13</v>
      </c>
      <c r="D409">
        <v>968.95</v>
      </c>
      <c r="E409" s="1">
        <v>1415.62</v>
      </c>
      <c r="F409">
        <v>426.56</v>
      </c>
    </row>
    <row r="410" spans="1:6" x14ac:dyDescent="0.35">
      <c r="A410" s="2">
        <v>45163</v>
      </c>
      <c r="B410" s="1">
        <v>1234.18</v>
      </c>
      <c r="C410" s="1">
        <v>3365.71</v>
      </c>
      <c r="D410">
        <v>970.4</v>
      </c>
      <c r="E410" s="1">
        <v>1412.14</v>
      </c>
      <c r="F410">
        <v>419.42</v>
      </c>
    </row>
    <row r="411" spans="1:6" x14ac:dyDescent="0.35">
      <c r="A411" s="2">
        <v>45166</v>
      </c>
      <c r="B411" s="1">
        <v>1221.8800000000001</v>
      </c>
      <c r="C411" s="1">
        <v>3359.98</v>
      </c>
      <c r="D411">
        <v>970.55</v>
      </c>
      <c r="E411" s="1">
        <v>1407.72</v>
      </c>
      <c r="F411">
        <v>417.57</v>
      </c>
    </row>
    <row r="412" spans="1:6" x14ac:dyDescent="0.35">
      <c r="A412" s="2">
        <v>45167</v>
      </c>
      <c r="B412" s="1">
        <v>1210.18</v>
      </c>
      <c r="C412" s="1">
        <v>3360.58</v>
      </c>
      <c r="D412">
        <v>967.75</v>
      </c>
      <c r="E412" s="1">
        <v>1409.7</v>
      </c>
      <c r="F412">
        <v>416.34</v>
      </c>
    </row>
    <row r="413" spans="1:6" x14ac:dyDescent="0.35">
      <c r="A413" s="2">
        <v>45168</v>
      </c>
      <c r="B413" s="1">
        <v>1209.03</v>
      </c>
      <c r="C413" s="1">
        <v>3375.31</v>
      </c>
      <c r="D413">
        <v>958.9</v>
      </c>
      <c r="E413" s="1">
        <v>1427.11</v>
      </c>
      <c r="F413">
        <v>418.89</v>
      </c>
    </row>
    <row r="414" spans="1:6" x14ac:dyDescent="0.35">
      <c r="A414" s="2">
        <v>45169</v>
      </c>
      <c r="B414" s="1">
        <v>1203.5</v>
      </c>
      <c r="C414" s="1">
        <v>3341.32</v>
      </c>
      <c r="D414">
        <v>958.75</v>
      </c>
      <c r="E414" s="1">
        <v>1427.41</v>
      </c>
      <c r="F414">
        <v>415.96</v>
      </c>
    </row>
    <row r="415" spans="1:6" x14ac:dyDescent="0.35">
      <c r="A415" s="2">
        <v>45170</v>
      </c>
      <c r="B415" s="1">
        <v>1206.32</v>
      </c>
      <c r="C415" s="1">
        <v>3363.61</v>
      </c>
      <c r="D415">
        <v>968.7</v>
      </c>
      <c r="E415" s="1">
        <v>1435.76</v>
      </c>
      <c r="F415">
        <v>417.24</v>
      </c>
    </row>
    <row r="416" spans="1:6" x14ac:dyDescent="0.35">
      <c r="A416" s="2">
        <v>45173</v>
      </c>
      <c r="B416" s="1">
        <v>1205.3499999999999</v>
      </c>
      <c r="C416" s="1">
        <v>3402.73</v>
      </c>
      <c r="D416">
        <v>967.35</v>
      </c>
      <c r="E416" s="1">
        <v>1456.89</v>
      </c>
      <c r="F416">
        <v>413.88</v>
      </c>
    </row>
    <row r="417" spans="1:6" x14ac:dyDescent="0.35">
      <c r="A417" s="2">
        <v>45174</v>
      </c>
      <c r="B417" s="1">
        <v>1211.8</v>
      </c>
      <c r="C417" s="1">
        <v>3413.53</v>
      </c>
      <c r="D417">
        <v>968.4</v>
      </c>
      <c r="E417" s="1">
        <v>1470.61</v>
      </c>
      <c r="F417">
        <v>419.18</v>
      </c>
    </row>
    <row r="418" spans="1:6" x14ac:dyDescent="0.35">
      <c r="A418" s="2">
        <v>45175</v>
      </c>
      <c r="B418" s="1">
        <v>1214.3499999999999</v>
      </c>
      <c r="C418" s="1">
        <v>3414.08</v>
      </c>
      <c r="D418">
        <v>957.5</v>
      </c>
      <c r="E418" s="1">
        <v>1469.17</v>
      </c>
      <c r="F418">
        <v>423.29</v>
      </c>
    </row>
    <row r="419" spans="1:6" x14ac:dyDescent="0.35">
      <c r="A419" s="2">
        <v>45176</v>
      </c>
      <c r="B419" s="1">
        <v>1216</v>
      </c>
      <c r="C419" s="1">
        <v>3439.31</v>
      </c>
      <c r="D419">
        <v>965.65</v>
      </c>
      <c r="E419" s="1">
        <v>1457.98</v>
      </c>
      <c r="F419">
        <v>421.83</v>
      </c>
    </row>
    <row r="420" spans="1:6" x14ac:dyDescent="0.35">
      <c r="A420" s="2">
        <v>45177</v>
      </c>
      <c r="B420" s="1">
        <v>1224.0999999999999</v>
      </c>
      <c r="C420" s="1">
        <v>3426.03</v>
      </c>
      <c r="D420">
        <v>970.55</v>
      </c>
      <c r="E420" s="1">
        <v>1461.36</v>
      </c>
      <c r="F420">
        <v>418.75</v>
      </c>
    </row>
    <row r="421" spans="1:6" x14ac:dyDescent="0.35">
      <c r="A421" s="2">
        <v>45180</v>
      </c>
      <c r="B421" s="1">
        <v>1237.3</v>
      </c>
      <c r="C421" s="1">
        <v>3464.6</v>
      </c>
      <c r="D421">
        <v>978.25</v>
      </c>
      <c r="E421" s="1">
        <v>1468.18</v>
      </c>
      <c r="F421">
        <v>423.06</v>
      </c>
    </row>
    <row r="422" spans="1:6" x14ac:dyDescent="0.35">
      <c r="A422" s="2">
        <v>45181</v>
      </c>
      <c r="B422" s="1">
        <v>1219.43</v>
      </c>
      <c r="C422" s="1">
        <v>3564.28</v>
      </c>
      <c r="D422">
        <v>990.5</v>
      </c>
      <c r="E422" s="1">
        <v>1492.69</v>
      </c>
      <c r="F422">
        <v>426.79</v>
      </c>
    </row>
    <row r="423" spans="1:6" x14ac:dyDescent="0.35">
      <c r="A423" s="2">
        <v>45182</v>
      </c>
      <c r="B423" s="1">
        <v>1225.53</v>
      </c>
      <c r="C423" s="1">
        <v>3551.4</v>
      </c>
      <c r="D423">
        <v>989.8</v>
      </c>
      <c r="E423" s="1">
        <v>1489.95</v>
      </c>
      <c r="F423">
        <v>429.02</v>
      </c>
    </row>
    <row r="424" spans="1:6" x14ac:dyDescent="0.35">
      <c r="A424" s="2">
        <v>45183</v>
      </c>
      <c r="B424" s="1">
        <v>1226.6500000000001</v>
      </c>
      <c r="C424" s="1">
        <v>3543.63</v>
      </c>
      <c r="D424">
        <v>987.7</v>
      </c>
      <c r="E424" s="1">
        <v>1498.51</v>
      </c>
      <c r="F424">
        <v>425.66</v>
      </c>
    </row>
    <row r="425" spans="1:6" x14ac:dyDescent="0.35">
      <c r="A425" s="2">
        <v>45184</v>
      </c>
      <c r="B425" s="1">
        <v>1228.93</v>
      </c>
      <c r="C425" s="1">
        <v>3581.71</v>
      </c>
      <c r="D425">
        <v>992.45</v>
      </c>
      <c r="E425" s="1">
        <v>1503.13</v>
      </c>
      <c r="F425">
        <v>424.14</v>
      </c>
    </row>
    <row r="426" spans="1:6" x14ac:dyDescent="0.35">
      <c r="A426" s="2">
        <v>45187</v>
      </c>
      <c r="B426" s="1">
        <v>1218.22</v>
      </c>
      <c r="C426" s="1">
        <v>3589.52</v>
      </c>
      <c r="D426">
        <v>990.2</v>
      </c>
      <c r="E426" s="1">
        <v>1483.44</v>
      </c>
      <c r="F426">
        <v>427.64</v>
      </c>
    </row>
    <row r="427" spans="1:6" x14ac:dyDescent="0.35">
      <c r="A427" s="2">
        <v>45189</v>
      </c>
      <c r="B427" s="1">
        <v>1191.07</v>
      </c>
      <c r="C427" s="1">
        <v>3589.42</v>
      </c>
      <c r="D427">
        <v>987.15</v>
      </c>
      <c r="E427" s="1">
        <v>1481.9</v>
      </c>
      <c r="F427">
        <v>428.5</v>
      </c>
    </row>
    <row r="428" spans="1:6" x14ac:dyDescent="0.35">
      <c r="A428" s="2">
        <v>45190</v>
      </c>
      <c r="B428" s="1">
        <v>1182.4000000000001</v>
      </c>
      <c r="C428" s="1">
        <v>3568.76</v>
      </c>
      <c r="D428">
        <v>959.3</v>
      </c>
      <c r="E428" s="1">
        <v>1493.33</v>
      </c>
      <c r="F428">
        <v>423.34</v>
      </c>
    </row>
    <row r="429" spans="1:6" x14ac:dyDescent="0.35">
      <c r="A429" s="2">
        <v>45191</v>
      </c>
      <c r="B429" s="1">
        <v>1177.47</v>
      </c>
      <c r="C429" s="1">
        <v>3587.03</v>
      </c>
      <c r="D429">
        <v>950.3</v>
      </c>
      <c r="E429" s="1">
        <v>1487.77</v>
      </c>
      <c r="F429">
        <v>419.18</v>
      </c>
    </row>
    <row r="430" spans="1:6" x14ac:dyDescent="0.35">
      <c r="A430" s="2">
        <v>45194</v>
      </c>
      <c r="B430" s="1">
        <v>1170.22</v>
      </c>
      <c r="C430" s="1">
        <v>3560.65</v>
      </c>
      <c r="D430">
        <v>956.35</v>
      </c>
      <c r="E430" s="1">
        <v>1465.89</v>
      </c>
      <c r="F430">
        <v>418.7</v>
      </c>
    </row>
    <row r="431" spans="1:6" x14ac:dyDescent="0.35">
      <c r="A431" s="2">
        <v>45195</v>
      </c>
      <c r="B431" s="1">
        <v>1171.25</v>
      </c>
      <c r="C431" s="1">
        <v>3569.16</v>
      </c>
      <c r="D431">
        <v>948.7</v>
      </c>
      <c r="E431" s="1">
        <v>1452.46</v>
      </c>
      <c r="F431">
        <v>418.56</v>
      </c>
    </row>
    <row r="432" spans="1:6" x14ac:dyDescent="0.35">
      <c r="A432" s="2">
        <v>45196</v>
      </c>
      <c r="B432" s="1">
        <v>1184.45</v>
      </c>
      <c r="C432" s="1">
        <v>3572.75</v>
      </c>
      <c r="D432">
        <v>943.1</v>
      </c>
      <c r="E432" s="1">
        <v>1458.78</v>
      </c>
      <c r="F432">
        <v>424.9</v>
      </c>
    </row>
    <row r="433" spans="1:6" x14ac:dyDescent="0.35">
      <c r="A433" s="2">
        <v>45197</v>
      </c>
      <c r="B433" s="1">
        <v>1167.05</v>
      </c>
      <c r="C433" s="1">
        <v>3520.44</v>
      </c>
      <c r="D433">
        <v>942.6</v>
      </c>
      <c r="E433" s="1">
        <v>1431.38</v>
      </c>
      <c r="F433">
        <v>416.95</v>
      </c>
    </row>
    <row r="434" spans="1:6" x14ac:dyDescent="0.35">
      <c r="A434" s="2">
        <v>45198</v>
      </c>
      <c r="B434" s="1">
        <v>1172.5</v>
      </c>
      <c r="C434" s="1">
        <v>3512.33</v>
      </c>
      <c r="D434">
        <v>951.9</v>
      </c>
      <c r="E434" s="1">
        <v>1427.41</v>
      </c>
      <c r="F434">
        <v>420.41</v>
      </c>
    </row>
    <row r="435" spans="1:6" x14ac:dyDescent="0.35">
      <c r="A435" s="2">
        <v>45202</v>
      </c>
      <c r="B435" s="1">
        <v>1159.07</v>
      </c>
      <c r="C435" s="1">
        <v>3497.64</v>
      </c>
      <c r="D435">
        <v>940.3</v>
      </c>
      <c r="E435" s="1">
        <v>1425.96</v>
      </c>
      <c r="F435">
        <v>416.01</v>
      </c>
    </row>
    <row r="436" spans="1:6" x14ac:dyDescent="0.35">
      <c r="A436" s="2">
        <v>45203</v>
      </c>
      <c r="B436" s="1">
        <v>1157.07</v>
      </c>
      <c r="C436" s="1">
        <v>3521.43</v>
      </c>
      <c r="D436">
        <v>930.05</v>
      </c>
      <c r="E436" s="1">
        <v>1436.26</v>
      </c>
      <c r="F436">
        <v>412.56</v>
      </c>
    </row>
    <row r="437" spans="1:6" x14ac:dyDescent="0.35">
      <c r="A437" s="2">
        <v>45204</v>
      </c>
      <c r="B437" s="1">
        <v>1157.05</v>
      </c>
      <c r="C437" s="1">
        <v>3572.8</v>
      </c>
      <c r="D437">
        <v>940.85</v>
      </c>
      <c r="E437" s="1">
        <v>1455.25</v>
      </c>
      <c r="F437">
        <v>412.51</v>
      </c>
    </row>
    <row r="438" spans="1:6" x14ac:dyDescent="0.35">
      <c r="A438" s="2">
        <v>45205</v>
      </c>
      <c r="B438" s="1">
        <v>1159</v>
      </c>
      <c r="C438" s="1">
        <v>3604.7</v>
      </c>
      <c r="D438">
        <v>945.2</v>
      </c>
      <c r="E438" s="1">
        <v>1470.41</v>
      </c>
      <c r="F438">
        <v>418.28</v>
      </c>
    </row>
    <row r="439" spans="1:6" x14ac:dyDescent="0.35">
      <c r="A439" s="2">
        <v>45208</v>
      </c>
      <c r="B439" s="1">
        <v>1149.1300000000001</v>
      </c>
      <c r="C439" s="1">
        <v>3621.57</v>
      </c>
      <c r="D439">
        <v>938.6</v>
      </c>
      <c r="E439" s="1">
        <v>1467.18</v>
      </c>
      <c r="F439">
        <v>416.67</v>
      </c>
    </row>
    <row r="440" spans="1:6" x14ac:dyDescent="0.35">
      <c r="A440" s="2">
        <v>45209</v>
      </c>
      <c r="B440" s="1">
        <v>1154.2</v>
      </c>
      <c r="C440" s="1">
        <v>3612.16</v>
      </c>
      <c r="D440">
        <v>951.2</v>
      </c>
      <c r="E440" s="1">
        <v>1486.77</v>
      </c>
      <c r="F440">
        <v>420.41</v>
      </c>
    </row>
    <row r="441" spans="1:6" x14ac:dyDescent="0.35">
      <c r="A441" s="2">
        <v>45210</v>
      </c>
      <c r="B441" s="1">
        <v>1172.53</v>
      </c>
      <c r="C441" s="1">
        <v>3593.25</v>
      </c>
      <c r="D441">
        <v>953.1</v>
      </c>
      <c r="E441" s="1">
        <v>1486.03</v>
      </c>
      <c r="F441">
        <v>424.05</v>
      </c>
    </row>
    <row r="442" spans="1:6" x14ac:dyDescent="0.35">
      <c r="A442" s="2">
        <v>45211</v>
      </c>
      <c r="B442" s="1">
        <v>1174.7</v>
      </c>
      <c r="C442" s="1">
        <v>3526.21</v>
      </c>
      <c r="D442">
        <v>954.25</v>
      </c>
      <c r="E442" s="1">
        <v>1457.29</v>
      </c>
      <c r="F442">
        <v>426.37</v>
      </c>
    </row>
    <row r="443" spans="1:6" x14ac:dyDescent="0.35">
      <c r="A443" s="2">
        <v>45212</v>
      </c>
      <c r="B443" s="1">
        <v>1174.6500000000001</v>
      </c>
      <c r="C443" s="1">
        <v>3554.38</v>
      </c>
      <c r="D443">
        <v>951.3</v>
      </c>
      <c r="E443" s="1">
        <v>1423.13</v>
      </c>
      <c r="F443">
        <v>424.14</v>
      </c>
    </row>
    <row r="444" spans="1:6" x14ac:dyDescent="0.35">
      <c r="A444" s="2">
        <v>45215</v>
      </c>
      <c r="B444" s="1">
        <v>1172.03</v>
      </c>
      <c r="C444" s="1">
        <v>3507.8</v>
      </c>
      <c r="D444">
        <v>951.4</v>
      </c>
      <c r="E444" s="1">
        <v>1426.11</v>
      </c>
      <c r="F444">
        <v>424.71</v>
      </c>
    </row>
    <row r="445" spans="1:6" x14ac:dyDescent="0.35">
      <c r="A445" s="2">
        <v>45216</v>
      </c>
      <c r="B445" s="1">
        <v>1177.6300000000001</v>
      </c>
      <c r="C445" s="1">
        <v>3490.88</v>
      </c>
      <c r="D445">
        <v>953.9</v>
      </c>
      <c r="E445" s="1">
        <v>1434.37</v>
      </c>
      <c r="F445">
        <v>428.97</v>
      </c>
    </row>
    <row r="446" spans="1:6" x14ac:dyDescent="0.35">
      <c r="A446" s="2">
        <v>45217</v>
      </c>
      <c r="B446" s="1">
        <v>1162</v>
      </c>
      <c r="C446" s="1">
        <v>3471.17</v>
      </c>
      <c r="D446">
        <v>943.75</v>
      </c>
      <c r="E446" s="1">
        <v>1432.48</v>
      </c>
      <c r="F446">
        <v>427.27</v>
      </c>
    </row>
    <row r="447" spans="1:6" x14ac:dyDescent="0.35">
      <c r="A447" s="2">
        <v>45218</v>
      </c>
      <c r="B447" s="1">
        <v>1153.07</v>
      </c>
      <c r="C447" s="1">
        <v>3439.71</v>
      </c>
      <c r="D447">
        <v>935.75</v>
      </c>
      <c r="E447" s="1">
        <v>1425.62</v>
      </c>
      <c r="F447">
        <v>426.08</v>
      </c>
    </row>
    <row r="448" spans="1:6" x14ac:dyDescent="0.35">
      <c r="A448" s="2">
        <v>45219</v>
      </c>
      <c r="B448" s="1">
        <v>1149.55</v>
      </c>
      <c r="C448" s="1">
        <v>3478.43</v>
      </c>
      <c r="D448">
        <v>932.75</v>
      </c>
      <c r="E448" s="1">
        <v>1419.25</v>
      </c>
      <c r="F448">
        <v>414.64</v>
      </c>
    </row>
    <row r="449" spans="1:6" x14ac:dyDescent="0.35">
      <c r="A449" s="2">
        <v>45222</v>
      </c>
      <c r="B449" s="1">
        <v>1131.5999999999999</v>
      </c>
      <c r="C449" s="1">
        <v>3394.42</v>
      </c>
      <c r="D449">
        <v>929.95</v>
      </c>
      <c r="E449" s="1">
        <v>1400.76</v>
      </c>
      <c r="F449">
        <v>412.37</v>
      </c>
    </row>
    <row r="450" spans="1:6" x14ac:dyDescent="0.35">
      <c r="A450" s="2">
        <v>45224</v>
      </c>
      <c r="B450" s="1">
        <v>1128.97</v>
      </c>
      <c r="C450" s="1">
        <v>3374.47</v>
      </c>
      <c r="D450">
        <v>916.1</v>
      </c>
      <c r="E450" s="1">
        <v>1362.37</v>
      </c>
      <c r="F450">
        <v>409.34</v>
      </c>
    </row>
    <row r="451" spans="1:6" x14ac:dyDescent="0.35">
      <c r="A451" s="2">
        <v>45225</v>
      </c>
      <c r="B451" s="1">
        <v>1113.25</v>
      </c>
      <c r="C451" s="1">
        <v>3321.36</v>
      </c>
      <c r="D451">
        <v>908.65</v>
      </c>
      <c r="E451" s="1">
        <v>1351.83</v>
      </c>
      <c r="F451">
        <v>410.9</v>
      </c>
    </row>
    <row r="452" spans="1:6" x14ac:dyDescent="0.35">
      <c r="A452" s="2">
        <v>45226</v>
      </c>
      <c r="B452" s="1">
        <v>1132.9000000000001</v>
      </c>
      <c r="C452" s="1">
        <v>3335.5</v>
      </c>
      <c r="D452">
        <v>912.75</v>
      </c>
      <c r="E452" s="1">
        <v>1372.61</v>
      </c>
      <c r="F452">
        <v>410.33</v>
      </c>
    </row>
    <row r="453" spans="1:6" x14ac:dyDescent="0.35">
      <c r="A453" s="2">
        <v>45229</v>
      </c>
      <c r="B453" s="1">
        <v>1156.25</v>
      </c>
      <c r="C453" s="1">
        <v>3362.97</v>
      </c>
      <c r="D453">
        <v>924.9</v>
      </c>
      <c r="E453" s="1">
        <v>1369.33</v>
      </c>
      <c r="F453">
        <v>407.21</v>
      </c>
    </row>
    <row r="454" spans="1:6" x14ac:dyDescent="0.35">
      <c r="A454" s="2">
        <v>45230</v>
      </c>
      <c r="B454" s="1">
        <v>1143.95</v>
      </c>
      <c r="C454" s="1">
        <v>3353.21</v>
      </c>
      <c r="D454">
        <v>915.35</v>
      </c>
      <c r="E454" s="1">
        <v>1360.73</v>
      </c>
      <c r="F454">
        <v>405.27</v>
      </c>
    </row>
    <row r="455" spans="1:6" x14ac:dyDescent="0.35">
      <c r="A455" s="2">
        <v>45231</v>
      </c>
      <c r="B455" s="1">
        <v>1148.7</v>
      </c>
      <c r="C455" s="1">
        <v>3315.29</v>
      </c>
      <c r="D455">
        <v>914.05</v>
      </c>
      <c r="E455" s="1">
        <v>1346.56</v>
      </c>
      <c r="F455">
        <v>404.99</v>
      </c>
    </row>
    <row r="456" spans="1:6" x14ac:dyDescent="0.35">
      <c r="A456" s="2">
        <v>45232</v>
      </c>
      <c r="B456" s="1">
        <v>1160.0999999999999</v>
      </c>
      <c r="C456" s="1">
        <v>3344.6</v>
      </c>
      <c r="D456">
        <v>919.95</v>
      </c>
      <c r="E456" s="1">
        <v>1362.47</v>
      </c>
      <c r="F456">
        <v>407.87</v>
      </c>
    </row>
    <row r="457" spans="1:6" x14ac:dyDescent="0.35">
      <c r="A457" s="2">
        <v>45233</v>
      </c>
      <c r="B457" s="1">
        <v>1159.8499999999999</v>
      </c>
      <c r="C457" s="1">
        <v>3335.45</v>
      </c>
      <c r="D457">
        <v>933.8</v>
      </c>
      <c r="E457" s="1">
        <v>1381.27</v>
      </c>
      <c r="F457">
        <v>409.86</v>
      </c>
    </row>
    <row r="458" spans="1:6" x14ac:dyDescent="0.35">
      <c r="A458" s="2">
        <v>45236</v>
      </c>
      <c r="B458" s="1">
        <v>1169.5</v>
      </c>
      <c r="C458" s="1">
        <v>3364.66</v>
      </c>
      <c r="D458">
        <v>945.45</v>
      </c>
      <c r="E458" s="1">
        <v>1395.44</v>
      </c>
      <c r="F458">
        <v>411.85</v>
      </c>
    </row>
    <row r="459" spans="1:6" x14ac:dyDescent="0.35">
      <c r="A459" s="2">
        <v>45237</v>
      </c>
      <c r="B459" s="1">
        <v>1161.9000000000001</v>
      </c>
      <c r="C459" s="1">
        <v>3354.91</v>
      </c>
      <c r="D459">
        <v>948.1</v>
      </c>
      <c r="E459" s="1">
        <v>1396.43</v>
      </c>
      <c r="F459">
        <v>409.34</v>
      </c>
    </row>
    <row r="460" spans="1:6" x14ac:dyDescent="0.35">
      <c r="A460" s="2">
        <v>45238</v>
      </c>
      <c r="B460" s="1">
        <v>1167.95</v>
      </c>
      <c r="C460" s="1">
        <v>3365.95</v>
      </c>
      <c r="D460">
        <v>935.75</v>
      </c>
      <c r="E460" s="1">
        <v>1383.2</v>
      </c>
      <c r="F460">
        <v>413.36</v>
      </c>
    </row>
    <row r="461" spans="1:6" x14ac:dyDescent="0.35">
      <c r="A461" s="2">
        <v>45239</v>
      </c>
      <c r="B461" s="1">
        <v>1155.28</v>
      </c>
      <c r="C461" s="1">
        <v>3332.01</v>
      </c>
      <c r="D461">
        <v>937.35</v>
      </c>
      <c r="E461" s="1">
        <v>1367.1</v>
      </c>
      <c r="F461">
        <v>410.95</v>
      </c>
    </row>
    <row r="462" spans="1:6" x14ac:dyDescent="0.35">
      <c r="A462" s="2">
        <v>45240</v>
      </c>
      <c r="B462" s="1">
        <v>1157.45</v>
      </c>
      <c r="C462" s="1">
        <v>3318.08</v>
      </c>
      <c r="D462">
        <v>938.6</v>
      </c>
      <c r="E462" s="1">
        <v>1361.18</v>
      </c>
      <c r="F462">
        <v>412.98</v>
      </c>
    </row>
    <row r="463" spans="1:6" x14ac:dyDescent="0.35">
      <c r="A463" s="2">
        <v>45242</v>
      </c>
      <c r="B463" s="1">
        <v>1165.33</v>
      </c>
      <c r="C463" s="1">
        <v>3358.9</v>
      </c>
      <c r="D463">
        <v>942.35</v>
      </c>
      <c r="E463" s="1">
        <v>1388.2</v>
      </c>
      <c r="F463">
        <v>438.45</v>
      </c>
    </row>
    <row r="464" spans="1:6" x14ac:dyDescent="0.35">
      <c r="A464" s="2">
        <v>45243</v>
      </c>
      <c r="B464" s="1">
        <v>1157.3</v>
      </c>
      <c r="C464" s="1">
        <v>3316.19</v>
      </c>
      <c r="D464">
        <v>934.45</v>
      </c>
      <c r="E464" s="1">
        <v>1365.85</v>
      </c>
      <c r="F464">
        <v>412.46</v>
      </c>
    </row>
    <row r="465" spans="1:6" x14ac:dyDescent="0.35">
      <c r="A465" s="2">
        <v>45245</v>
      </c>
      <c r="B465" s="1">
        <v>1178.22</v>
      </c>
      <c r="C465" s="1">
        <v>3388.6</v>
      </c>
      <c r="D465">
        <v>941.1</v>
      </c>
      <c r="E465" s="1">
        <v>1402.6</v>
      </c>
      <c r="F465">
        <v>418.09</v>
      </c>
    </row>
    <row r="466" spans="1:6" x14ac:dyDescent="0.35">
      <c r="A466" s="2">
        <v>45246</v>
      </c>
      <c r="B466" s="1">
        <v>1180.3499999999999</v>
      </c>
      <c r="C466" s="1">
        <v>3481.72</v>
      </c>
      <c r="D466">
        <v>936</v>
      </c>
      <c r="E466" s="1">
        <v>1436.8</v>
      </c>
      <c r="F466">
        <v>414.97</v>
      </c>
    </row>
    <row r="467" spans="1:6" x14ac:dyDescent="0.35">
      <c r="A467" s="2">
        <v>45247</v>
      </c>
      <c r="B467" s="1">
        <v>1177.78</v>
      </c>
      <c r="C467" s="1">
        <v>3486.3</v>
      </c>
      <c r="D467">
        <v>921.85</v>
      </c>
      <c r="E467" s="1">
        <v>1429.49</v>
      </c>
      <c r="F467">
        <v>415.54</v>
      </c>
    </row>
    <row r="468" spans="1:6" x14ac:dyDescent="0.35">
      <c r="A468" s="2">
        <v>45250</v>
      </c>
      <c r="B468" s="1">
        <v>1174.68</v>
      </c>
      <c r="C468" s="1">
        <v>3503.37</v>
      </c>
      <c r="D468">
        <v>921.45</v>
      </c>
      <c r="E468" s="1">
        <v>1428.55</v>
      </c>
      <c r="F468">
        <v>413.22</v>
      </c>
    </row>
    <row r="469" spans="1:6" x14ac:dyDescent="0.35">
      <c r="A469" s="2">
        <v>45251</v>
      </c>
      <c r="B469" s="1">
        <v>1189.45</v>
      </c>
      <c r="C469" s="1">
        <v>3494.01</v>
      </c>
      <c r="D469">
        <v>926.1</v>
      </c>
      <c r="E469" s="1">
        <v>1430.94</v>
      </c>
      <c r="F469">
        <v>412.7</v>
      </c>
    </row>
    <row r="470" spans="1:6" x14ac:dyDescent="0.35">
      <c r="A470" s="2">
        <v>45252</v>
      </c>
      <c r="B470" s="1">
        <v>1194.0999999999999</v>
      </c>
      <c r="C470" s="1">
        <v>3513.87</v>
      </c>
      <c r="D470">
        <v>922.75</v>
      </c>
      <c r="E470" s="1">
        <v>1449.63</v>
      </c>
      <c r="F470">
        <v>415.96</v>
      </c>
    </row>
    <row r="471" spans="1:6" x14ac:dyDescent="0.35">
      <c r="A471" s="2">
        <v>45253</v>
      </c>
      <c r="B471" s="1">
        <v>1197.75</v>
      </c>
      <c r="C471" s="1">
        <v>3492.07</v>
      </c>
      <c r="D471">
        <v>923</v>
      </c>
      <c r="E471" s="1">
        <v>1441.13</v>
      </c>
      <c r="F471">
        <v>416.58</v>
      </c>
    </row>
    <row r="472" spans="1:6" x14ac:dyDescent="0.35">
      <c r="A472" s="2">
        <v>45254</v>
      </c>
      <c r="B472" s="1">
        <v>1196.95</v>
      </c>
      <c r="C472" s="1">
        <v>3441.16</v>
      </c>
      <c r="D472">
        <v>929.4</v>
      </c>
      <c r="E472" s="1">
        <v>1429.34</v>
      </c>
      <c r="F472">
        <v>414.16</v>
      </c>
    </row>
    <row r="473" spans="1:6" x14ac:dyDescent="0.35">
      <c r="A473" s="2">
        <v>45258</v>
      </c>
      <c r="B473" s="1">
        <v>1197.2</v>
      </c>
      <c r="C473" s="1">
        <v>3454.15</v>
      </c>
      <c r="D473">
        <v>925.5</v>
      </c>
      <c r="E473" s="1">
        <v>1434.61</v>
      </c>
      <c r="F473">
        <v>411.75</v>
      </c>
    </row>
    <row r="474" spans="1:6" x14ac:dyDescent="0.35">
      <c r="A474" s="2">
        <v>45259</v>
      </c>
      <c r="B474" s="1">
        <v>1200.3499999999999</v>
      </c>
      <c r="C474" s="1">
        <v>3497.54</v>
      </c>
      <c r="D474">
        <v>939.6</v>
      </c>
      <c r="E474" s="1">
        <v>1451.42</v>
      </c>
      <c r="F474">
        <v>413.6</v>
      </c>
    </row>
    <row r="475" spans="1:6" x14ac:dyDescent="0.35">
      <c r="A475" s="2">
        <v>45260</v>
      </c>
      <c r="B475" s="1">
        <v>1188.72</v>
      </c>
      <c r="C475" s="1">
        <v>3471.51</v>
      </c>
      <c r="D475">
        <v>934.95</v>
      </c>
      <c r="E475" s="1">
        <v>1446.99</v>
      </c>
      <c r="F475">
        <v>412.27</v>
      </c>
    </row>
    <row r="476" spans="1:6" x14ac:dyDescent="0.35">
      <c r="A476" s="2">
        <v>45261</v>
      </c>
      <c r="B476" s="1">
        <v>1197.1500000000001</v>
      </c>
      <c r="C476" s="1">
        <v>3495.45</v>
      </c>
      <c r="D476">
        <v>946.7</v>
      </c>
      <c r="E476" s="1">
        <v>1444.16</v>
      </c>
      <c r="F476">
        <v>425.52</v>
      </c>
    </row>
    <row r="477" spans="1:6" x14ac:dyDescent="0.35">
      <c r="A477" s="2">
        <v>45264</v>
      </c>
      <c r="B477" s="1">
        <v>1210.0999999999999</v>
      </c>
      <c r="C477" s="1">
        <v>3496.25</v>
      </c>
      <c r="D477">
        <v>991.2</v>
      </c>
      <c r="E477" s="1">
        <v>1456.14</v>
      </c>
      <c r="F477">
        <v>429.54</v>
      </c>
    </row>
    <row r="478" spans="1:6" x14ac:dyDescent="0.35">
      <c r="A478" s="2">
        <v>45265</v>
      </c>
      <c r="B478" s="1">
        <v>1218.8800000000001</v>
      </c>
      <c r="C478" s="1">
        <v>3515.31</v>
      </c>
      <c r="D478" s="1">
        <v>1013.45</v>
      </c>
      <c r="E478" s="1">
        <v>1445.8</v>
      </c>
      <c r="F478">
        <v>427.36</v>
      </c>
    </row>
    <row r="479" spans="1:6" x14ac:dyDescent="0.35">
      <c r="A479" s="2">
        <v>45266</v>
      </c>
      <c r="B479" s="1">
        <v>1230.55</v>
      </c>
      <c r="C479" s="1">
        <v>3587.48</v>
      </c>
      <c r="D479" s="1">
        <v>1003.25</v>
      </c>
      <c r="E479" s="1">
        <v>1466.04</v>
      </c>
      <c r="F479">
        <v>438.24</v>
      </c>
    </row>
    <row r="480" spans="1:6" x14ac:dyDescent="0.35">
      <c r="A480" s="2">
        <v>45267</v>
      </c>
      <c r="B480" s="1">
        <v>1228.53</v>
      </c>
      <c r="C480" s="1">
        <v>3598.23</v>
      </c>
      <c r="D480">
        <v>999</v>
      </c>
      <c r="E480" s="1">
        <v>1457.69</v>
      </c>
      <c r="F480">
        <v>433.37</v>
      </c>
    </row>
    <row r="481" spans="1:6" x14ac:dyDescent="0.35">
      <c r="A481" s="2">
        <v>45268</v>
      </c>
      <c r="B481" s="1">
        <v>1227.8800000000001</v>
      </c>
      <c r="C481" s="1">
        <v>3609.97</v>
      </c>
      <c r="D481" s="1">
        <v>1010.85</v>
      </c>
      <c r="E481" s="1">
        <v>1482.79</v>
      </c>
      <c r="F481">
        <v>424.9</v>
      </c>
    </row>
    <row r="482" spans="1:6" x14ac:dyDescent="0.35">
      <c r="A482" s="2">
        <v>45271</v>
      </c>
      <c r="B482" s="1">
        <v>1229.68</v>
      </c>
      <c r="C482" s="1">
        <v>3626.1</v>
      </c>
      <c r="D482" s="1">
        <v>1017.1</v>
      </c>
      <c r="E482" s="1">
        <v>1480.16</v>
      </c>
      <c r="F482">
        <v>428.02</v>
      </c>
    </row>
    <row r="483" spans="1:6" x14ac:dyDescent="0.35">
      <c r="A483" s="2">
        <v>45272</v>
      </c>
      <c r="B483" s="1">
        <v>1212.03</v>
      </c>
      <c r="C483" s="1">
        <v>3655.16</v>
      </c>
      <c r="D483" s="1">
        <v>1015.7</v>
      </c>
      <c r="E483" s="1">
        <v>1467.78</v>
      </c>
      <c r="F483">
        <v>428.64</v>
      </c>
    </row>
    <row r="484" spans="1:6" x14ac:dyDescent="0.35">
      <c r="A484" s="2">
        <v>45273</v>
      </c>
      <c r="B484" s="1">
        <v>1216.97</v>
      </c>
      <c r="C484" s="1">
        <v>3576.98</v>
      </c>
      <c r="D484" s="1">
        <v>1013.9</v>
      </c>
      <c r="E484" s="1">
        <v>1440.88</v>
      </c>
      <c r="F484">
        <v>431.05</v>
      </c>
    </row>
    <row r="485" spans="1:6" x14ac:dyDescent="0.35">
      <c r="A485" s="2">
        <v>45274</v>
      </c>
      <c r="B485" s="1">
        <v>1232.07</v>
      </c>
      <c r="C485" s="1">
        <v>3650.34</v>
      </c>
      <c r="D485" s="1">
        <v>1033.6500000000001</v>
      </c>
      <c r="E485" s="1">
        <v>1493.04</v>
      </c>
      <c r="F485">
        <v>435.26</v>
      </c>
    </row>
    <row r="486" spans="1:6" x14ac:dyDescent="0.35">
      <c r="A486" s="2">
        <v>45275</v>
      </c>
      <c r="B486" s="1">
        <v>1247.8</v>
      </c>
      <c r="C486" s="1">
        <v>3843.19</v>
      </c>
      <c r="D486" s="1">
        <v>1037.4000000000001</v>
      </c>
      <c r="E486" s="1">
        <v>1569.56</v>
      </c>
      <c r="F486">
        <v>433.46</v>
      </c>
    </row>
    <row r="487" spans="1:6" x14ac:dyDescent="0.35">
      <c r="A487" s="2">
        <v>45278</v>
      </c>
      <c r="B487" s="1">
        <v>1260.5</v>
      </c>
      <c r="C487" s="1">
        <v>3841.4</v>
      </c>
      <c r="D487" s="1">
        <v>1021.45</v>
      </c>
      <c r="E487" s="1">
        <v>1555.58</v>
      </c>
      <c r="F487">
        <v>427.27</v>
      </c>
    </row>
    <row r="488" spans="1:6" x14ac:dyDescent="0.35">
      <c r="A488" s="2">
        <v>45279</v>
      </c>
      <c r="B488" s="1">
        <v>1279.05</v>
      </c>
      <c r="C488" s="1">
        <v>3798.6</v>
      </c>
      <c r="D488" s="1">
        <v>1015.45</v>
      </c>
      <c r="E488" s="1">
        <v>1549.57</v>
      </c>
      <c r="F488">
        <v>431.48</v>
      </c>
    </row>
    <row r="489" spans="1:6" x14ac:dyDescent="0.35">
      <c r="A489" s="2">
        <v>45280</v>
      </c>
      <c r="B489" s="1">
        <v>1263.57</v>
      </c>
      <c r="C489" s="1">
        <v>3762.62</v>
      </c>
      <c r="D489" s="1">
        <v>1006.65</v>
      </c>
      <c r="E489" s="1">
        <v>1527.79</v>
      </c>
      <c r="F489">
        <v>426.65</v>
      </c>
    </row>
    <row r="490" spans="1:6" x14ac:dyDescent="0.35">
      <c r="A490" s="2">
        <v>45281</v>
      </c>
      <c r="B490" s="1">
        <v>1281.28</v>
      </c>
      <c r="C490" s="1">
        <v>3770.03</v>
      </c>
      <c r="D490" s="1">
        <v>1004.4</v>
      </c>
      <c r="E490" s="1">
        <v>1527.39</v>
      </c>
      <c r="F490">
        <v>427.08</v>
      </c>
    </row>
    <row r="491" spans="1:6" x14ac:dyDescent="0.35">
      <c r="A491" s="2">
        <v>45282</v>
      </c>
      <c r="B491" s="1">
        <v>1282.53</v>
      </c>
      <c r="C491" s="1">
        <v>3806.36</v>
      </c>
      <c r="D491">
        <v>994.3</v>
      </c>
      <c r="E491" s="1">
        <v>1554.14</v>
      </c>
      <c r="F491">
        <v>430.63</v>
      </c>
    </row>
    <row r="492" spans="1:6" x14ac:dyDescent="0.35">
      <c r="A492" s="2">
        <v>45286</v>
      </c>
      <c r="B492" s="1">
        <v>1289.03</v>
      </c>
      <c r="C492" s="1">
        <v>3778.04</v>
      </c>
      <c r="D492">
        <v>995.1</v>
      </c>
      <c r="E492" s="1">
        <v>1535.3</v>
      </c>
      <c r="F492">
        <v>431.81</v>
      </c>
    </row>
    <row r="493" spans="1:6" x14ac:dyDescent="0.35">
      <c r="A493" s="2">
        <v>45287</v>
      </c>
      <c r="B493" s="1">
        <v>1293.43</v>
      </c>
      <c r="C493" s="1">
        <v>3793.62</v>
      </c>
      <c r="D493" s="1">
        <v>1002.25</v>
      </c>
      <c r="E493" s="1">
        <v>1558.32</v>
      </c>
      <c r="F493">
        <v>432.42</v>
      </c>
    </row>
    <row r="494" spans="1:6" x14ac:dyDescent="0.35">
      <c r="A494" s="2">
        <v>45288</v>
      </c>
      <c r="B494" s="1">
        <v>1302.78</v>
      </c>
      <c r="C494" s="1">
        <v>3782.38</v>
      </c>
      <c r="D494" s="1">
        <v>1005.9</v>
      </c>
      <c r="E494" s="1">
        <v>1553.89</v>
      </c>
      <c r="F494">
        <v>439.05</v>
      </c>
    </row>
    <row r="495" spans="1:6" x14ac:dyDescent="0.35">
      <c r="A495" s="2">
        <v>45289</v>
      </c>
      <c r="B495" s="1">
        <v>1292.47</v>
      </c>
      <c r="C495" s="1">
        <v>3775.91</v>
      </c>
      <c r="D495">
        <v>996.6</v>
      </c>
      <c r="E495" s="1">
        <v>1534.25</v>
      </c>
      <c r="F495">
        <v>437.15</v>
      </c>
    </row>
    <row r="496" spans="1:6" x14ac:dyDescent="0.35">
      <c r="A496" s="2">
        <v>45292</v>
      </c>
      <c r="B496" s="1">
        <v>1295.1300000000001</v>
      </c>
      <c r="C496" s="1">
        <v>3793.52</v>
      </c>
      <c r="D496">
        <v>999.4</v>
      </c>
      <c r="E496" s="1">
        <v>1542.66</v>
      </c>
      <c r="F496">
        <v>442.78</v>
      </c>
    </row>
    <row r="497" spans="1:6" x14ac:dyDescent="0.35">
      <c r="A497" s="2">
        <v>45293</v>
      </c>
      <c r="B497" s="1">
        <v>1305.8499999999999</v>
      </c>
      <c r="C497" s="1">
        <v>3765.75</v>
      </c>
      <c r="D497">
        <v>982.25</v>
      </c>
      <c r="E497" s="1">
        <v>1525.8</v>
      </c>
      <c r="F497">
        <v>444.96</v>
      </c>
    </row>
    <row r="498" spans="1:6" x14ac:dyDescent="0.35">
      <c r="A498" s="2">
        <v>45294</v>
      </c>
      <c r="B498" s="1">
        <v>1291.6500000000001</v>
      </c>
      <c r="C498" s="1">
        <v>3674.72</v>
      </c>
      <c r="D498">
        <v>984.05</v>
      </c>
      <c r="E498" s="1">
        <v>1481.65</v>
      </c>
      <c r="F498">
        <v>451.48</v>
      </c>
    </row>
    <row r="499" spans="1:6" x14ac:dyDescent="0.35">
      <c r="A499" s="2">
        <v>45295</v>
      </c>
      <c r="B499" s="1">
        <v>1298.32</v>
      </c>
      <c r="C499" s="1">
        <v>3649.89</v>
      </c>
      <c r="D499">
        <v>987.15</v>
      </c>
      <c r="E499" s="1">
        <v>1504.22</v>
      </c>
      <c r="F499">
        <v>450.68</v>
      </c>
    </row>
    <row r="500" spans="1:6" x14ac:dyDescent="0.35">
      <c r="A500" s="2">
        <v>45296</v>
      </c>
      <c r="B500" s="1">
        <v>1303.8499999999999</v>
      </c>
      <c r="C500" s="1">
        <v>3720.66</v>
      </c>
      <c r="D500">
        <v>993.7</v>
      </c>
      <c r="E500" s="1">
        <v>1523.96</v>
      </c>
      <c r="F500">
        <v>448.36</v>
      </c>
    </row>
    <row r="501" spans="1:6" x14ac:dyDescent="0.35">
      <c r="A501" s="2">
        <v>45299</v>
      </c>
      <c r="B501" s="1">
        <v>1293.68</v>
      </c>
      <c r="C501" s="1">
        <v>3661.34</v>
      </c>
      <c r="D501">
        <v>982</v>
      </c>
      <c r="E501" s="1">
        <v>1514.27</v>
      </c>
      <c r="F501">
        <v>440.37</v>
      </c>
    </row>
    <row r="502" spans="1:6" x14ac:dyDescent="0.35">
      <c r="A502" s="2">
        <v>45300</v>
      </c>
      <c r="B502" s="1">
        <v>1290.25</v>
      </c>
      <c r="C502" s="1">
        <v>3672.88</v>
      </c>
      <c r="D502">
        <v>979.75</v>
      </c>
      <c r="E502" s="1">
        <v>1520.73</v>
      </c>
      <c r="F502">
        <v>439.47</v>
      </c>
    </row>
    <row r="503" spans="1:6" x14ac:dyDescent="0.35">
      <c r="A503" s="2">
        <v>45301</v>
      </c>
      <c r="B503" s="1">
        <v>1325.05</v>
      </c>
      <c r="C503" s="1">
        <v>3695.93</v>
      </c>
      <c r="D503">
        <v>993.05</v>
      </c>
      <c r="E503" s="1">
        <v>1511.38</v>
      </c>
      <c r="F503">
        <v>438.29</v>
      </c>
    </row>
    <row r="504" spans="1:6" x14ac:dyDescent="0.35">
      <c r="A504" s="2">
        <v>45302</v>
      </c>
      <c r="B504" s="1">
        <v>1359.9</v>
      </c>
      <c r="C504" s="1">
        <v>3718.32</v>
      </c>
      <c r="D504">
        <v>991.15</v>
      </c>
      <c r="E504" s="1">
        <v>1485.83</v>
      </c>
      <c r="F504">
        <v>437.67</v>
      </c>
    </row>
    <row r="505" spans="1:6" x14ac:dyDescent="0.35">
      <c r="A505" s="2">
        <v>45303</v>
      </c>
      <c r="B505" s="1">
        <v>1370.72</v>
      </c>
      <c r="C505" s="1">
        <v>3864.89</v>
      </c>
      <c r="D505" s="1">
        <v>1003.5</v>
      </c>
      <c r="E505" s="1">
        <v>1603.71</v>
      </c>
      <c r="F505">
        <v>441.5</v>
      </c>
    </row>
    <row r="506" spans="1:6" x14ac:dyDescent="0.35">
      <c r="A506" s="2">
        <v>45306</v>
      </c>
      <c r="B506" s="1">
        <v>1394.13</v>
      </c>
      <c r="C506" s="1">
        <v>3885.8</v>
      </c>
      <c r="D506" s="1">
        <v>1009.85</v>
      </c>
      <c r="E506" s="1">
        <v>1642.84</v>
      </c>
      <c r="F506">
        <v>442.36</v>
      </c>
    </row>
    <row r="507" spans="1:6" x14ac:dyDescent="0.35">
      <c r="A507" s="2">
        <v>45307</v>
      </c>
      <c r="B507" s="1">
        <v>1374.63</v>
      </c>
      <c r="C507" s="1">
        <v>3843.49</v>
      </c>
      <c r="D507" s="1">
        <v>1009.05</v>
      </c>
      <c r="E507" s="1">
        <v>1622.41</v>
      </c>
      <c r="F507">
        <v>446.8</v>
      </c>
    </row>
    <row r="508" spans="1:6" x14ac:dyDescent="0.35">
      <c r="A508" s="2">
        <v>45308</v>
      </c>
      <c r="B508" s="1">
        <v>1361.57</v>
      </c>
      <c r="C508" s="1">
        <v>3866.68</v>
      </c>
      <c r="D508">
        <v>981.75</v>
      </c>
      <c r="E508" s="1">
        <v>1631.01</v>
      </c>
      <c r="F508">
        <v>441.41</v>
      </c>
    </row>
    <row r="509" spans="1:6" x14ac:dyDescent="0.35">
      <c r="A509" s="2">
        <v>45309</v>
      </c>
      <c r="B509" s="1">
        <v>1367.95</v>
      </c>
      <c r="C509" s="1">
        <v>3884.6</v>
      </c>
      <c r="D509">
        <v>986.35</v>
      </c>
      <c r="E509" s="1">
        <v>1633.4</v>
      </c>
      <c r="F509">
        <v>440.37</v>
      </c>
    </row>
    <row r="510" spans="1:6" x14ac:dyDescent="0.35">
      <c r="A510" s="2">
        <v>45310</v>
      </c>
      <c r="B510" s="1">
        <v>1367.45</v>
      </c>
      <c r="C510" s="1">
        <v>3943.05</v>
      </c>
      <c r="D510">
        <v>999.2</v>
      </c>
      <c r="E510" s="1">
        <v>1649.9</v>
      </c>
      <c r="F510">
        <v>446.05</v>
      </c>
    </row>
    <row r="511" spans="1:6" x14ac:dyDescent="0.35">
      <c r="A511" s="2">
        <v>45311</v>
      </c>
      <c r="B511" s="1">
        <v>1356.65</v>
      </c>
      <c r="C511" s="1">
        <v>3860.65</v>
      </c>
      <c r="D511" s="1">
        <v>1008.7</v>
      </c>
      <c r="E511" s="1">
        <v>1648.85</v>
      </c>
      <c r="F511">
        <v>468.4</v>
      </c>
    </row>
    <row r="512" spans="1:6" x14ac:dyDescent="0.35">
      <c r="A512" s="2">
        <v>45314</v>
      </c>
      <c r="B512" s="1">
        <v>1328.57</v>
      </c>
      <c r="C512" s="1">
        <v>3858.25</v>
      </c>
      <c r="D512" s="1">
        <v>1029.05</v>
      </c>
      <c r="E512" s="1">
        <v>1632.95</v>
      </c>
      <c r="F512">
        <v>434.5</v>
      </c>
    </row>
    <row r="513" spans="1:6" x14ac:dyDescent="0.35">
      <c r="A513" s="2">
        <v>45315</v>
      </c>
      <c r="B513" s="1">
        <v>1343.88</v>
      </c>
      <c r="C513" s="1">
        <v>3841.8</v>
      </c>
      <c r="D513">
        <v>999.2</v>
      </c>
      <c r="E513" s="1">
        <v>1666.01</v>
      </c>
      <c r="F513">
        <v>438.57</v>
      </c>
    </row>
    <row r="514" spans="1:6" x14ac:dyDescent="0.35">
      <c r="A514" s="2">
        <v>45316</v>
      </c>
      <c r="B514" s="1">
        <v>1353.07</v>
      </c>
      <c r="C514" s="1">
        <v>3810.3</v>
      </c>
      <c r="D514" s="1">
        <v>1009.95</v>
      </c>
      <c r="E514" s="1">
        <v>1659.75</v>
      </c>
      <c r="F514">
        <v>431.05</v>
      </c>
    </row>
    <row r="515" spans="1:6" x14ac:dyDescent="0.35">
      <c r="A515" s="2">
        <v>45320</v>
      </c>
      <c r="B515" s="1">
        <v>1448.05</v>
      </c>
      <c r="C515" s="1">
        <v>3801</v>
      </c>
      <c r="D515" s="1">
        <v>1016.4</v>
      </c>
      <c r="E515" s="1">
        <v>1647.32</v>
      </c>
      <c r="F515">
        <v>425.52</v>
      </c>
    </row>
    <row r="516" spans="1:6" x14ac:dyDescent="0.35">
      <c r="A516" s="2">
        <v>45321</v>
      </c>
      <c r="B516" s="1">
        <v>1407.63</v>
      </c>
      <c r="C516" s="1">
        <v>3800.55</v>
      </c>
      <c r="D516" s="1">
        <v>1016.9</v>
      </c>
      <c r="E516" s="1">
        <v>1642.19</v>
      </c>
      <c r="F516">
        <v>414.4</v>
      </c>
    </row>
    <row r="517" spans="1:6" x14ac:dyDescent="0.35">
      <c r="A517" s="2">
        <v>45322</v>
      </c>
      <c r="B517" s="1">
        <v>1426.63</v>
      </c>
      <c r="C517" s="1">
        <v>3815.95</v>
      </c>
      <c r="D517" s="1">
        <v>1028.1500000000001</v>
      </c>
      <c r="E517" s="1">
        <v>1651.59</v>
      </c>
      <c r="F517">
        <v>417.71</v>
      </c>
    </row>
    <row r="518" spans="1:6" x14ac:dyDescent="0.35">
      <c r="A518" s="2">
        <v>45323</v>
      </c>
      <c r="B518" s="1">
        <v>1426.65</v>
      </c>
      <c r="C518" s="1">
        <v>3854.15</v>
      </c>
      <c r="D518" s="1">
        <v>1025.1500000000001</v>
      </c>
      <c r="E518" s="1">
        <v>1647.76</v>
      </c>
      <c r="F518">
        <v>418.99</v>
      </c>
    </row>
    <row r="519" spans="1:6" x14ac:dyDescent="0.35">
      <c r="A519" s="2">
        <v>45324</v>
      </c>
      <c r="B519" s="1">
        <v>1457.7</v>
      </c>
      <c r="C519" s="1">
        <v>3966.3</v>
      </c>
      <c r="D519" s="1">
        <v>1024</v>
      </c>
      <c r="E519" s="1">
        <v>1683.86</v>
      </c>
      <c r="F519">
        <v>416.34</v>
      </c>
    </row>
    <row r="520" spans="1:6" x14ac:dyDescent="0.35">
      <c r="A520" s="2">
        <v>45327</v>
      </c>
      <c r="B520" s="1">
        <v>1439.03</v>
      </c>
      <c r="C520" s="1">
        <v>3973.3</v>
      </c>
      <c r="D520" s="1">
        <v>1023.5</v>
      </c>
      <c r="E520" s="1">
        <v>1677.74</v>
      </c>
      <c r="F520">
        <v>414.4</v>
      </c>
    </row>
    <row r="521" spans="1:6" x14ac:dyDescent="0.35">
      <c r="A521" s="2">
        <v>45328</v>
      </c>
      <c r="B521" s="1">
        <v>1427.8</v>
      </c>
      <c r="C521" s="1">
        <v>4136</v>
      </c>
      <c r="D521" s="1">
        <v>1026.4000000000001</v>
      </c>
      <c r="E521" s="1">
        <v>1719.76</v>
      </c>
      <c r="F521">
        <v>408.11</v>
      </c>
    </row>
    <row r="522" spans="1:6" x14ac:dyDescent="0.35">
      <c r="A522" s="2">
        <v>45329</v>
      </c>
      <c r="B522" s="1">
        <v>1442.15</v>
      </c>
      <c r="C522" s="1">
        <v>4083.4</v>
      </c>
      <c r="D522" s="1">
        <v>1022.15</v>
      </c>
      <c r="E522" s="1">
        <v>1684.26</v>
      </c>
      <c r="F522">
        <v>408.49</v>
      </c>
    </row>
    <row r="523" spans="1:6" x14ac:dyDescent="0.35">
      <c r="A523" s="2">
        <v>45330</v>
      </c>
      <c r="B523" s="1">
        <v>1450.13</v>
      </c>
      <c r="C523" s="1">
        <v>4134.1000000000004</v>
      </c>
      <c r="D523">
        <v>989.3</v>
      </c>
      <c r="E523" s="1">
        <v>1682.62</v>
      </c>
      <c r="F523">
        <v>392.17</v>
      </c>
    </row>
    <row r="524" spans="1:6" x14ac:dyDescent="0.35">
      <c r="A524" s="2">
        <v>45331</v>
      </c>
      <c r="B524" s="1">
        <v>1460.75</v>
      </c>
      <c r="C524" s="1">
        <v>4133.7</v>
      </c>
      <c r="D524" s="1">
        <v>1010.7</v>
      </c>
      <c r="E524" s="1">
        <v>1659.99</v>
      </c>
      <c r="F524">
        <v>393.07</v>
      </c>
    </row>
    <row r="525" spans="1:6" x14ac:dyDescent="0.35">
      <c r="A525" s="2">
        <v>45334</v>
      </c>
      <c r="B525" s="1">
        <v>1452.35</v>
      </c>
      <c r="C525" s="1">
        <v>4120.7</v>
      </c>
      <c r="D525">
        <v>996.1</v>
      </c>
      <c r="E525" s="1">
        <v>1670.69</v>
      </c>
      <c r="F525">
        <v>384.89</v>
      </c>
    </row>
    <row r="526" spans="1:6" x14ac:dyDescent="0.35">
      <c r="A526" s="2">
        <v>45335</v>
      </c>
      <c r="B526" s="1">
        <v>1465.1</v>
      </c>
      <c r="C526" s="1">
        <v>4149.5</v>
      </c>
      <c r="D526" s="1">
        <v>1019.8</v>
      </c>
      <c r="E526" s="1">
        <v>1675.11</v>
      </c>
      <c r="F526">
        <v>384.79</v>
      </c>
    </row>
    <row r="527" spans="1:6" x14ac:dyDescent="0.35">
      <c r="A527" s="2">
        <v>45336</v>
      </c>
      <c r="B527" s="1">
        <v>1481.38</v>
      </c>
      <c r="C527" s="1">
        <v>4100.1000000000004</v>
      </c>
      <c r="D527" s="1">
        <v>1022.7</v>
      </c>
      <c r="E527" s="1">
        <v>1656.86</v>
      </c>
      <c r="F527">
        <v>389.33</v>
      </c>
    </row>
    <row r="528" spans="1:6" x14ac:dyDescent="0.35">
      <c r="A528" s="2">
        <v>45337</v>
      </c>
      <c r="B528" s="1">
        <v>1470.6</v>
      </c>
      <c r="C528" s="1">
        <v>4103.2</v>
      </c>
      <c r="D528" s="1">
        <v>1016.65</v>
      </c>
      <c r="E528" s="1">
        <v>1666.96</v>
      </c>
      <c r="F528">
        <v>382.1</v>
      </c>
    </row>
    <row r="529" spans="1:6" x14ac:dyDescent="0.35">
      <c r="A529" s="2">
        <v>45338</v>
      </c>
      <c r="B529" s="1">
        <v>1460.57</v>
      </c>
      <c r="C529" s="1">
        <v>4128.3</v>
      </c>
      <c r="D529" s="1">
        <v>1023.25</v>
      </c>
      <c r="E529" s="1">
        <v>1692.11</v>
      </c>
      <c r="F529">
        <v>382.76</v>
      </c>
    </row>
    <row r="530" spans="1:6" x14ac:dyDescent="0.35">
      <c r="A530" s="2">
        <v>45341</v>
      </c>
      <c r="B530" s="1">
        <v>1474</v>
      </c>
      <c r="C530" s="1">
        <v>4103.8</v>
      </c>
      <c r="D530" s="1">
        <v>1043.75</v>
      </c>
      <c r="E530" s="1">
        <v>1690.22</v>
      </c>
      <c r="F530">
        <v>387.16</v>
      </c>
    </row>
    <row r="531" spans="1:6" x14ac:dyDescent="0.35">
      <c r="A531" s="2">
        <v>45342</v>
      </c>
      <c r="B531" s="1">
        <v>1471.03</v>
      </c>
      <c r="C531" s="1">
        <v>4030.65</v>
      </c>
      <c r="D531" s="1">
        <v>1048.75</v>
      </c>
      <c r="E531" s="1">
        <v>1675.81</v>
      </c>
      <c r="F531">
        <v>384.18</v>
      </c>
    </row>
    <row r="532" spans="1:6" x14ac:dyDescent="0.35">
      <c r="A532" s="2">
        <v>45343</v>
      </c>
      <c r="B532" s="1">
        <v>1467.7</v>
      </c>
      <c r="C532" s="1">
        <v>3991.5</v>
      </c>
      <c r="D532" s="1">
        <v>1051.95</v>
      </c>
      <c r="E532" s="1">
        <v>1646.27</v>
      </c>
      <c r="F532">
        <v>381.57</v>
      </c>
    </row>
    <row r="533" spans="1:6" x14ac:dyDescent="0.35">
      <c r="A533" s="2">
        <v>45344</v>
      </c>
      <c r="B533" s="1">
        <v>1481.75</v>
      </c>
      <c r="C533" s="1">
        <v>4087.1</v>
      </c>
      <c r="D533" s="1">
        <v>1062.7</v>
      </c>
      <c r="E533" s="1">
        <v>1671.93</v>
      </c>
      <c r="F533">
        <v>392.08</v>
      </c>
    </row>
    <row r="534" spans="1:6" x14ac:dyDescent="0.35">
      <c r="A534" s="2">
        <v>45345</v>
      </c>
      <c r="B534" s="1">
        <v>1493.63</v>
      </c>
      <c r="C534" s="1">
        <v>4052.1</v>
      </c>
      <c r="D534" s="1">
        <v>1061.3</v>
      </c>
      <c r="E534" s="1">
        <v>1667.45</v>
      </c>
      <c r="F534">
        <v>389.19</v>
      </c>
    </row>
    <row r="535" spans="1:6" x14ac:dyDescent="0.35">
      <c r="A535" s="2">
        <v>45348</v>
      </c>
      <c r="B535" s="1">
        <v>1487.32</v>
      </c>
      <c r="C535" s="1">
        <v>4001.05</v>
      </c>
      <c r="D535" s="1">
        <v>1054.2</v>
      </c>
      <c r="E535" s="1">
        <v>1650.85</v>
      </c>
      <c r="F535">
        <v>387.11</v>
      </c>
    </row>
    <row r="536" spans="1:6" x14ac:dyDescent="0.35">
      <c r="A536" s="2">
        <v>45349</v>
      </c>
      <c r="B536" s="1">
        <v>1485.65</v>
      </c>
      <c r="C536" s="1">
        <v>4104.3999999999996</v>
      </c>
      <c r="D536" s="1">
        <v>1060.2</v>
      </c>
      <c r="E536" s="1">
        <v>1654.28</v>
      </c>
      <c r="F536">
        <v>388.95</v>
      </c>
    </row>
    <row r="537" spans="1:6" x14ac:dyDescent="0.35">
      <c r="A537" s="2">
        <v>45350</v>
      </c>
      <c r="B537" s="1">
        <v>1455.63</v>
      </c>
      <c r="C537" s="1">
        <v>4118.95</v>
      </c>
      <c r="D537" s="1">
        <v>1046.2</v>
      </c>
      <c r="E537" s="1">
        <v>1661.88</v>
      </c>
      <c r="F537">
        <v>386.26</v>
      </c>
    </row>
    <row r="538" spans="1:6" x14ac:dyDescent="0.35">
      <c r="A538" s="2">
        <v>45351</v>
      </c>
      <c r="B538" s="1">
        <v>1460.8</v>
      </c>
      <c r="C538" s="1">
        <v>4095.1</v>
      </c>
      <c r="D538" s="1">
        <v>1052.2</v>
      </c>
      <c r="E538" s="1">
        <v>1664.52</v>
      </c>
      <c r="F538">
        <v>384.36</v>
      </c>
    </row>
    <row r="539" spans="1:6" x14ac:dyDescent="0.35">
      <c r="A539" s="2">
        <v>45352</v>
      </c>
      <c r="B539" s="1">
        <v>1492.13</v>
      </c>
      <c r="C539" s="1">
        <v>4094.35</v>
      </c>
      <c r="D539" s="1">
        <v>1086.9000000000001</v>
      </c>
      <c r="E539" s="1">
        <v>1645.43</v>
      </c>
      <c r="F539">
        <v>387.39</v>
      </c>
    </row>
    <row r="540" spans="1:6" x14ac:dyDescent="0.35">
      <c r="A540" s="2">
        <v>45353</v>
      </c>
      <c r="B540" s="1">
        <v>1491.08</v>
      </c>
      <c r="C540" s="1">
        <v>4107.1000000000004</v>
      </c>
      <c r="D540" s="1">
        <v>1084.6500000000001</v>
      </c>
      <c r="E540" s="1">
        <v>1656.3</v>
      </c>
      <c r="F540">
        <v>412.05</v>
      </c>
    </row>
    <row r="541" spans="1:6" x14ac:dyDescent="0.35">
      <c r="A541" s="2">
        <v>45355</v>
      </c>
      <c r="B541" s="1">
        <v>1507.4</v>
      </c>
      <c r="C541" s="1">
        <v>4080.7</v>
      </c>
      <c r="D541" s="1">
        <v>1092.3499999999999</v>
      </c>
      <c r="E541" s="1">
        <v>1628.03</v>
      </c>
      <c r="F541">
        <v>387.01</v>
      </c>
    </row>
    <row r="542" spans="1:6" x14ac:dyDescent="0.35">
      <c r="A542" s="2">
        <v>45356</v>
      </c>
      <c r="B542" s="1">
        <v>1500.2</v>
      </c>
      <c r="C542" s="1">
        <v>4012.1</v>
      </c>
      <c r="D542" s="1">
        <v>1088.05</v>
      </c>
      <c r="E542" s="1">
        <v>1597.5</v>
      </c>
      <c r="F542">
        <v>384.22</v>
      </c>
    </row>
    <row r="543" spans="1:6" x14ac:dyDescent="0.35">
      <c r="A543" s="2">
        <v>45357</v>
      </c>
      <c r="B543" s="1">
        <v>1503</v>
      </c>
      <c r="C543" s="1">
        <v>4064.3</v>
      </c>
      <c r="D543" s="1">
        <v>1097.0999999999999</v>
      </c>
      <c r="E543" s="1">
        <v>1608.48</v>
      </c>
      <c r="F543">
        <v>385.83</v>
      </c>
    </row>
    <row r="544" spans="1:6" x14ac:dyDescent="0.35">
      <c r="A544" s="2">
        <v>45358</v>
      </c>
      <c r="B544" s="1">
        <v>1478.93</v>
      </c>
      <c r="C544" s="1">
        <v>4108.6000000000004</v>
      </c>
      <c r="D544" s="1">
        <v>1087.95</v>
      </c>
      <c r="E544" s="1">
        <v>1607.39</v>
      </c>
      <c r="F544">
        <v>391.22</v>
      </c>
    </row>
    <row r="545" spans="1:6" x14ac:dyDescent="0.35">
      <c r="A545" s="2">
        <v>45362</v>
      </c>
      <c r="B545" s="1">
        <v>1466.6</v>
      </c>
      <c r="C545" s="1">
        <v>4122.3500000000004</v>
      </c>
      <c r="D545" s="1">
        <v>1078.7</v>
      </c>
      <c r="E545" s="1">
        <v>1591.63</v>
      </c>
      <c r="F545">
        <v>387.3</v>
      </c>
    </row>
    <row r="546" spans="1:6" x14ac:dyDescent="0.35">
      <c r="A546" s="2">
        <v>45363</v>
      </c>
      <c r="B546" s="1">
        <v>1475.43</v>
      </c>
      <c r="C546" s="1">
        <v>4192.25</v>
      </c>
      <c r="D546" s="1">
        <v>1076.8499999999999</v>
      </c>
      <c r="E546" s="1">
        <v>1603.91</v>
      </c>
      <c r="F546">
        <v>382.61</v>
      </c>
    </row>
    <row r="547" spans="1:6" x14ac:dyDescent="0.35">
      <c r="A547" s="2">
        <v>45364</v>
      </c>
      <c r="B547" s="1">
        <v>1432.18</v>
      </c>
      <c r="C547" s="1">
        <v>4149</v>
      </c>
      <c r="D547" s="1">
        <v>1083.95</v>
      </c>
      <c r="E547" s="1">
        <v>1602.37</v>
      </c>
      <c r="F547">
        <v>399.64</v>
      </c>
    </row>
    <row r="548" spans="1:6" x14ac:dyDescent="0.35">
      <c r="A548" s="2">
        <v>45365</v>
      </c>
      <c r="B548" s="1">
        <v>1431.47</v>
      </c>
      <c r="C548" s="1">
        <v>4207.6000000000004</v>
      </c>
      <c r="D548" s="1">
        <v>1083.5999999999999</v>
      </c>
      <c r="E548" s="1">
        <v>1644.04</v>
      </c>
      <c r="F548">
        <v>396.99</v>
      </c>
    </row>
    <row r="549" spans="1:6" x14ac:dyDescent="0.35">
      <c r="A549" s="2">
        <v>45366</v>
      </c>
      <c r="B549" s="1">
        <v>1418.22</v>
      </c>
      <c r="C549" s="1">
        <v>4219.25</v>
      </c>
      <c r="D549" s="1">
        <v>1080.3499999999999</v>
      </c>
      <c r="E549" s="1">
        <v>1624.84</v>
      </c>
      <c r="F549">
        <v>396.47</v>
      </c>
    </row>
    <row r="550" spans="1:6" x14ac:dyDescent="0.35">
      <c r="A550" s="2">
        <v>45369</v>
      </c>
      <c r="B550" s="1">
        <v>1439.47</v>
      </c>
      <c r="C550" s="1">
        <v>4152.5</v>
      </c>
      <c r="D550" s="1">
        <v>1081.2</v>
      </c>
      <c r="E550" s="1">
        <v>1593.67</v>
      </c>
      <c r="F550">
        <v>394.91</v>
      </c>
    </row>
    <row r="551" spans="1:6" x14ac:dyDescent="0.35">
      <c r="A551" s="2">
        <v>45370</v>
      </c>
      <c r="B551" s="1">
        <v>1425.25</v>
      </c>
      <c r="C551" s="1">
        <v>3977.3</v>
      </c>
      <c r="D551" s="1">
        <v>1083.95</v>
      </c>
      <c r="E551" s="1">
        <v>1552.7</v>
      </c>
      <c r="F551">
        <v>387.44</v>
      </c>
    </row>
    <row r="552" spans="1:6" x14ac:dyDescent="0.35">
      <c r="A552" s="2">
        <v>45371</v>
      </c>
      <c r="B552" s="1">
        <v>1443.75</v>
      </c>
      <c r="C552" s="1">
        <v>3970.9</v>
      </c>
      <c r="D552" s="1">
        <v>1084.5</v>
      </c>
      <c r="E552" s="1">
        <v>1546.24</v>
      </c>
      <c r="F552">
        <v>393.26</v>
      </c>
    </row>
    <row r="553" spans="1:6" x14ac:dyDescent="0.35">
      <c r="A553" s="2">
        <v>45372</v>
      </c>
      <c r="B553" s="1">
        <v>1450.97</v>
      </c>
      <c r="C553" s="1">
        <v>3972.95</v>
      </c>
      <c r="D553" s="1">
        <v>1081.8</v>
      </c>
      <c r="E553" s="1">
        <v>1545.99</v>
      </c>
      <c r="F553">
        <v>398.51</v>
      </c>
    </row>
    <row r="554" spans="1:6" x14ac:dyDescent="0.35">
      <c r="A554" s="2">
        <v>45373</v>
      </c>
      <c r="B554" s="1">
        <v>1455.03</v>
      </c>
      <c r="C554" s="1">
        <v>3910.9</v>
      </c>
      <c r="D554" s="1">
        <v>1090.3</v>
      </c>
      <c r="E554" s="1">
        <v>1500.39</v>
      </c>
      <c r="F554">
        <v>405.46</v>
      </c>
    </row>
    <row r="555" spans="1:6" x14ac:dyDescent="0.35">
      <c r="A555" s="2">
        <v>45377</v>
      </c>
      <c r="B555" s="1">
        <v>1441.57</v>
      </c>
      <c r="C555" s="1">
        <v>3877.5</v>
      </c>
      <c r="D555" s="1">
        <v>1083.7</v>
      </c>
      <c r="E555" s="1">
        <v>1484.29</v>
      </c>
      <c r="F555">
        <v>404.56</v>
      </c>
    </row>
    <row r="556" spans="1:6" x14ac:dyDescent="0.35">
      <c r="A556" s="2">
        <v>45378</v>
      </c>
      <c r="B556" s="1">
        <v>1492.85</v>
      </c>
      <c r="C556" s="1">
        <v>3840.9</v>
      </c>
      <c r="D556" s="1">
        <v>1083.75</v>
      </c>
      <c r="E556" s="1">
        <v>1475.54</v>
      </c>
      <c r="F556">
        <v>404.89</v>
      </c>
    </row>
    <row r="557" spans="1:6" x14ac:dyDescent="0.35">
      <c r="A557" s="2">
        <v>45379</v>
      </c>
      <c r="B557" s="1">
        <v>1485.85</v>
      </c>
      <c r="C557" s="1">
        <v>3876.3</v>
      </c>
      <c r="D557" s="1">
        <v>1093.3</v>
      </c>
      <c r="E557" s="1">
        <v>1489.66</v>
      </c>
      <c r="F557">
        <v>405.23</v>
      </c>
    </row>
    <row r="558" spans="1:6" x14ac:dyDescent="0.35">
      <c r="A558" s="2">
        <v>45383</v>
      </c>
      <c r="B558" s="1">
        <v>1484.78</v>
      </c>
      <c r="C558" s="1">
        <v>3916.75</v>
      </c>
      <c r="D558" s="1">
        <v>1099.6500000000001</v>
      </c>
      <c r="E558" s="1">
        <v>1487.07</v>
      </c>
      <c r="F558">
        <v>403.66</v>
      </c>
    </row>
    <row r="559" spans="1:6" x14ac:dyDescent="0.35">
      <c r="A559" s="2">
        <v>45384</v>
      </c>
      <c r="B559" s="1">
        <v>1486.95</v>
      </c>
      <c r="C559" s="1">
        <v>3883.8</v>
      </c>
      <c r="D559" s="1">
        <v>1081.2</v>
      </c>
      <c r="E559" s="1">
        <v>1474.54</v>
      </c>
      <c r="F559">
        <v>402.86</v>
      </c>
    </row>
    <row r="560" spans="1:6" x14ac:dyDescent="0.35">
      <c r="A560" s="2">
        <v>45385</v>
      </c>
      <c r="B560" s="1">
        <v>1471.6</v>
      </c>
      <c r="C560" s="1">
        <v>3947.3</v>
      </c>
      <c r="D560" s="1">
        <v>1077.2</v>
      </c>
      <c r="E560" s="1">
        <v>1472.35</v>
      </c>
      <c r="F560">
        <v>402.24</v>
      </c>
    </row>
    <row r="561" spans="1:6" x14ac:dyDescent="0.35">
      <c r="A561" s="2">
        <v>45386</v>
      </c>
      <c r="B561" s="1">
        <v>1462.93</v>
      </c>
      <c r="C561" s="1">
        <v>4003.3</v>
      </c>
      <c r="D561" s="1">
        <v>1078.8499999999999</v>
      </c>
      <c r="E561" s="1">
        <v>1478.37</v>
      </c>
      <c r="F561">
        <v>399.93</v>
      </c>
    </row>
    <row r="562" spans="1:6" x14ac:dyDescent="0.35">
      <c r="A562" s="2">
        <v>45387</v>
      </c>
      <c r="B562" s="1">
        <v>1460.1</v>
      </c>
      <c r="C562" s="1">
        <v>3979.25</v>
      </c>
      <c r="D562" s="1">
        <v>1083.4000000000001</v>
      </c>
      <c r="E562" s="1">
        <v>1470.81</v>
      </c>
      <c r="F562">
        <v>404.47</v>
      </c>
    </row>
    <row r="563" spans="1:6" x14ac:dyDescent="0.35">
      <c r="A563" s="2">
        <v>45390</v>
      </c>
      <c r="B563" s="1">
        <v>1485.97</v>
      </c>
      <c r="C563" s="1">
        <v>3972.55</v>
      </c>
      <c r="D563" s="1">
        <v>1087.1500000000001</v>
      </c>
      <c r="E563" s="1">
        <v>1468.43</v>
      </c>
      <c r="F563">
        <v>405.93</v>
      </c>
    </row>
    <row r="564" spans="1:6" x14ac:dyDescent="0.35">
      <c r="A564" s="2">
        <v>45391</v>
      </c>
      <c r="B564" s="1">
        <v>1463.65</v>
      </c>
      <c r="C564" s="1">
        <v>3946.55</v>
      </c>
      <c r="D564" s="1">
        <v>1107.05</v>
      </c>
      <c r="E564" s="1">
        <v>1486.47</v>
      </c>
      <c r="F564">
        <v>403.33</v>
      </c>
    </row>
    <row r="565" spans="1:6" x14ac:dyDescent="0.35">
      <c r="A565" s="2">
        <v>45392</v>
      </c>
      <c r="B565" s="1">
        <v>1479.57</v>
      </c>
      <c r="C565" s="1">
        <v>3984.65</v>
      </c>
      <c r="D565" s="1">
        <v>1109.4000000000001</v>
      </c>
      <c r="E565" s="1">
        <v>1498.36</v>
      </c>
      <c r="F565">
        <v>413.36</v>
      </c>
    </row>
    <row r="566" spans="1:6" x14ac:dyDescent="0.35">
      <c r="A566" s="2">
        <v>45394</v>
      </c>
      <c r="B566" s="1">
        <v>1467.15</v>
      </c>
      <c r="C566" s="1">
        <v>4001.4</v>
      </c>
      <c r="D566" s="1">
        <v>1104.4000000000001</v>
      </c>
      <c r="E566" s="1">
        <v>1476.43</v>
      </c>
      <c r="F566">
        <v>406.88</v>
      </c>
    </row>
    <row r="567" spans="1:6" x14ac:dyDescent="0.35">
      <c r="A567" s="2">
        <v>45397</v>
      </c>
      <c r="B567" s="1">
        <v>1464.82</v>
      </c>
      <c r="C567" s="1">
        <v>3941.2</v>
      </c>
      <c r="D567" s="1">
        <v>1078.3499999999999</v>
      </c>
      <c r="E567" s="1">
        <v>1459.92</v>
      </c>
      <c r="F567">
        <v>402.91</v>
      </c>
    </row>
    <row r="568" spans="1:6" x14ac:dyDescent="0.35">
      <c r="A568" s="2">
        <v>45398</v>
      </c>
      <c r="B568" s="1">
        <v>1465.75</v>
      </c>
      <c r="C568" s="1">
        <v>3872.8</v>
      </c>
      <c r="D568" s="1">
        <v>1067.05</v>
      </c>
      <c r="E568" s="1">
        <v>1406.52</v>
      </c>
      <c r="F568">
        <v>402.91</v>
      </c>
    </row>
    <row r="569" spans="1:6" x14ac:dyDescent="0.35">
      <c r="A569" s="2">
        <v>45400</v>
      </c>
      <c r="B569" s="1">
        <v>1464.32</v>
      </c>
      <c r="C569" s="1">
        <v>3862</v>
      </c>
      <c r="D569" s="1">
        <v>1055.45</v>
      </c>
      <c r="E569" s="1">
        <v>1411.3</v>
      </c>
      <c r="F569">
        <v>396.24</v>
      </c>
    </row>
    <row r="570" spans="1:6" x14ac:dyDescent="0.35">
      <c r="A570" s="2">
        <v>45401</v>
      </c>
      <c r="B570" s="1">
        <v>1470.13</v>
      </c>
      <c r="C570" s="1">
        <v>3826.2</v>
      </c>
      <c r="D570" s="1">
        <v>1067.25</v>
      </c>
      <c r="E570" s="1">
        <v>1403.34</v>
      </c>
      <c r="F570">
        <v>401.82</v>
      </c>
    </row>
    <row r="571" spans="1:6" x14ac:dyDescent="0.35">
      <c r="A571" s="2">
        <v>45404</v>
      </c>
      <c r="B571" s="1">
        <v>1479.85</v>
      </c>
      <c r="C571" s="1">
        <v>3864.6</v>
      </c>
      <c r="D571" s="1">
        <v>1086.6500000000001</v>
      </c>
      <c r="E571" s="1">
        <v>1424.72</v>
      </c>
      <c r="F571">
        <v>402.34</v>
      </c>
    </row>
    <row r="572" spans="1:6" x14ac:dyDescent="0.35">
      <c r="A572" s="2">
        <v>45405</v>
      </c>
      <c r="B572" s="1">
        <v>1459.32</v>
      </c>
      <c r="C572" s="1">
        <v>3874.7</v>
      </c>
      <c r="D572" s="1">
        <v>1090.25</v>
      </c>
      <c r="E572" s="1">
        <v>1434.32</v>
      </c>
      <c r="F572">
        <v>406.03</v>
      </c>
    </row>
    <row r="573" spans="1:6" x14ac:dyDescent="0.35">
      <c r="A573" s="2">
        <v>45406</v>
      </c>
      <c r="B573" s="1">
        <v>1450.18</v>
      </c>
      <c r="C573" s="1">
        <v>3831.05</v>
      </c>
      <c r="D573" s="1">
        <v>1096.75</v>
      </c>
      <c r="E573" s="1">
        <v>1422.73</v>
      </c>
      <c r="F573">
        <v>405.74</v>
      </c>
    </row>
    <row r="574" spans="1:6" x14ac:dyDescent="0.35">
      <c r="A574" s="2">
        <v>45407</v>
      </c>
      <c r="B574" s="1">
        <v>1459.97</v>
      </c>
      <c r="C574" s="1">
        <v>3852.2</v>
      </c>
      <c r="D574" s="1">
        <v>1113.75</v>
      </c>
      <c r="E574" s="1">
        <v>1430.39</v>
      </c>
      <c r="F574">
        <v>413.93</v>
      </c>
    </row>
    <row r="575" spans="1:6" x14ac:dyDescent="0.35">
      <c r="A575" s="2">
        <v>45408</v>
      </c>
      <c r="B575" s="1">
        <v>1452.55</v>
      </c>
      <c r="C575" s="1">
        <v>3821.35</v>
      </c>
      <c r="D575" s="1">
        <v>1107.9000000000001</v>
      </c>
      <c r="E575" s="1">
        <v>1422.23</v>
      </c>
      <c r="F575">
        <v>416.25</v>
      </c>
    </row>
    <row r="576" spans="1:6" x14ac:dyDescent="0.35">
      <c r="A576" s="2">
        <v>45411</v>
      </c>
      <c r="B576" s="1">
        <v>1465.03</v>
      </c>
      <c r="C576" s="1">
        <v>3870.2</v>
      </c>
      <c r="D576" s="1">
        <v>1160.1500000000001</v>
      </c>
      <c r="E576" s="1">
        <v>1426.71</v>
      </c>
      <c r="F576">
        <v>414.54</v>
      </c>
    </row>
    <row r="577" spans="1:6" x14ac:dyDescent="0.35">
      <c r="A577" s="2">
        <v>45412</v>
      </c>
      <c r="B577" s="1">
        <v>1467</v>
      </c>
      <c r="C577" s="1">
        <v>3820.65</v>
      </c>
      <c r="D577" s="1">
        <v>1150.4000000000001</v>
      </c>
      <c r="E577" s="1">
        <v>1412.59</v>
      </c>
      <c r="F577">
        <v>412.13</v>
      </c>
    </row>
    <row r="578" spans="1:6" x14ac:dyDescent="0.35">
      <c r="A578" s="2">
        <v>45414</v>
      </c>
      <c r="B578" s="1">
        <v>1466.55</v>
      </c>
      <c r="C578" s="1">
        <v>3863.3</v>
      </c>
      <c r="D578" s="1">
        <v>1139.45</v>
      </c>
      <c r="E578" s="1">
        <v>1406.52</v>
      </c>
      <c r="F578">
        <v>415.3</v>
      </c>
    </row>
    <row r="579" spans="1:6" x14ac:dyDescent="0.35">
      <c r="A579" s="2">
        <v>45415</v>
      </c>
      <c r="B579" s="1">
        <v>1434</v>
      </c>
      <c r="C579" s="1">
        <v>3843.4</v>
      </c>
      <c r="D579" s="1">
        <v>1142.05</v>
      </c>
      <c r="E579" s="1">
        <v>1408.36</v>
      </c>
      <c r="F579">
        <v>412.89</v>
      </c>
    </row>
    <row r="580" spans="1:6" x14ac:dyDescent="0.35">
      <c r="A580" s="2">
        <v>45418</v>
      </c>
      <c r="B580" s="1">
        <v>1419.53</v>
      </c>
      <c r="C580" s="1">
        <v>3921.05</v>
      </c>
      <c r="D580" s="1">
        <v>1146.3</v>
      </c>
      <c r="E580" s="1">
        <v>1417.91</v>
      </c>
      <c r="F580">
        <v>411.28</v>
      </c>
    </row>
    <row r="581" spans="1:6" x14ac:dyDescent="0.35">
      <c r="A581" s="2">
        <v>45419</v>
      </c>
      <c r="B581" s="1">
        <v>1401.47</v>
      </c>
      <c r="C581" s="1">
        <v>3978.95</v>
      </c>
      <c r="D581" s="1">
        <v>1131.9000000000001</v>
      </c>
      <c r="E581" s="1">
        <v>1432.88</v>
      </c>
      <c r="F581">
        <v>416.58</v>
      </c>
    </row>
    <row r="582" spans="1:6" x14ac:dyDescent="0.35">
      <c r="A582" s="2">
        <v>45420</v>
      </c>
      <c r="B582" s="1">
        <v>1418.55</v>
      </c>
      <c r="C582" s="1">
        <v>3976.95</v>
      </c>
      <c r="D582" s="1">
        <v>1123</v>
      </c>
      <c r="E582" s="1">
        <v>1419.3</v>
      </c>
      <c r="F582">
        <v>417.19</v>
      </c>
    </row>
    <row r="583" spans="1:6" x14ac:dyDescent="0.35">
      <c r="A583" s="2">
        <v>45421</v>
      </c>
      <c r="B583" s="1">
        <v>1394.13</v>
      </c>
      <c r="C583" s="1">
        <v>3960.2</v>
      </c>
      <c r="D583" s="1">
        <v>1115.7</v>
      </c>
      <c r="E583" s="1">
        <v>1431.48</v>
      </c>
      <c r="F583">
        <v>402.15</v>
      </c>
    </row>
    <row r="584" spans="1:6" x14ac:dyDescent="0.35">
      <c r="A584" s="2">
        <v>45422</v>
      </c>
      <c r="B584" s="1">
        <v>1407.43</v>
      </c>
      <c r="C584" s="1">
        <v>3893.9</v>
      </c>
      <c r="D584" s="1">
        <v>1117.05</v>
      </c>
      <c r="E584" s="1">
        <v>1416.92</v>
      </c>
      <c r="F584">
        <v>409.95</v>
      </c>
    </row>
    <row r="585" spans="1:6" x14ac:dyDescent="0.35">
      <c r="A585" s="2">
        <v>45425</v>
      </c>
      <c r="B585" s="1">
        <v>1402.7</v>
      </c>
      <c r="C585" s="1">
        <v>3947.8</v>
      </c>
      <c r="D585" s="1">
        <v>1128</v>
      </c>
      <c r="E585" s="1">
        <v>1415.47</v>
      </c>
      <c r="F585">
        <v>408.54</v>
      </c>
    </row>
    <row r="586" spans="1:6" x14ac:dyDescent="0.35">
      <c r="A586" s="2">
        <v>45426</v>
      </c>
      <c r="B586" s="1">
        <v>1420.07</v>
      </c>
      <c r="C586" s="1">
        <v>3901.2</v>
      </c>
      <c r="D586" s="1">
        <v>1120.55</v>
      </c>
      <c r="E586" s="1">
        <v>1416.72</v>
      </c>
      <c r="F586">
        <v>406.5</v>
      </c>
    </row>
    <row r="587" spans="1:6" x14ac:dyDescent="0.35">
      <c r="A587" s="2">
        <v>45427</v>
      </c>
      <c r="B587" s="1">
        <v>1416.28</v>
      </c>
      <c r="C587" s="1">
        <v>3880.4</v>
      </c>
      <c r="D587" s="1">
        <v>1124.3499999999999</v>
      </c>
      <c r="E587" s="1">
        <v>1411.99</v>
      </c>
      <c r="F587">
        <v>404.7</v>
      </c>
    </row>
    <row r="588" spans="1:6" x14ac:dyDescent="0.35">
      <c r="A588" s="2">
        <v>45428</v>
      </c>
      <c r="B588" s="1">
        <v>1425.35</v>
      </c>
      <c r="C588" s="1">
        <v>3900.95</v>
      </c>
      <c r="D588" s="1">
        <v>1131.05</v>
      </c>
      <c r="E588" s="1">
        <v>1445.2</v>
      </c>
      <c r="F588">
        <v>408.16</v>
      </c>
    </row>
    <row r="589" spans="1:6" x14ac:dyDescent="0.35">
      <c r="A589" s="2">
        <v>45429</v>
      </c>
      <c r="B589" s="1">
        <v>1435.7</v>
      </c>
      <c r="C589" s="1">
        <v>3834.1</v>
      </c>
      <c r="D589" s="1">
        <v>1130.5</v>
      </c>
      <c r="E589" s="1">
        <v>1436.21</v>
      </c>
      <c r="F589">
        <v>412.74</v>
      </c>
    </row>
    <row r="590" spans="1:6" x14ac:dyDescent="0.35">
      <c r="A590" s="2">
        <v>45430</v>
      </c>
      <c r="B590" s="1">
        <v>1434.83</v>
      </c>
      <c r="C590" s="1">
        <v>3851.45</v>
      </c>
      <c r="D590" s="1">
        <v>1130.75</v>
      </c>
      <c r="E590" s="1">
        <v>1443.65</v>
      </c>
      <c r="F590">
        <v>436.65</v>
      </c>
    </row>
    <row r="591" spans="1:6" x14ac:dyDescent="0.35">
      <c r="A591" s="2">
        <v>45433</v>
      </c>
      <c r="B591" s="1">
        <v>1436.13</v>
      </c>
      <c r="C591" s="1">
        <v>3820.2</v>
      </c>
      <c r="D591" s="1">
        <v>1120.95</v>
      </c>
      <c r="E591" s="1">
        <v>1426.11</v>
      </c>
      <c r="F591">
        <v>411.33</v>
      </c>
    </row>
    <row r="592" spans="1:6" x14ac:dyDescent="0.35">
      <c r="A592" s="2">
        <v>45434</v>
      </c>
      <c r="B592" s="1">
        <v>1460.65</v>
      </c>
      <c r="C592" s="1">
        <v>3832</v>
      </c>
      <c r="D592" s="1">
        <v>1111.0999999999999</v>
      </c>
      <c r="E592" s="1">
        <v>1446.65</v>
      </c>
      <c r="F592">
        <v>416.15</v>
      </c>
    </row>
    <row r="593" spans="1:6" x14ac:dyDescent="0.35">
      <c r="A593" s="2">
        <v>45435</v>
      </c>
      <c r="B593" s="1">
        <v>1486.05</v>
      </c>
      <c r="C593" s="1">
        <v>3893.45</v>
      </c>
      <c r="D593" s="1">
        <v>1134.5</v>
      </c>
      <c r="E593" s="1">
        <v>1464.15</v>
      </c>
      <c r="F593">
        <v>417.52</v>
      </c>
    </row>
    <row r="594" spans="1:6" x14ac:dyDescent="0.35">
      <c r="A594" s="2">
        <v>45436</v>
      </c>
      <c r="B594" s="1">
        <v>1480.25</v>
      </c>
      <c r="C594" s="1">
        <v>3849.5</v>
      </c>
      <c r="D594" s="1">
        <v>1131.95</v>
      </c>
      <c r="E594" s="1">
        <v>1456.89</v>
      </c>
      <c r="F594">
        <v>412.65</v>
      </c>
    </row>
    <row r="595" spans="1:6" x14ac:dyDescent="0.35">
      <c r="A595" s="2">
        <v>45439</v>
      </c>
      <c r="B595" s="1">
        <v>1466.25</v>
      </c>
      <c r="C595" s="1">
        <v>3847.05</v>
      </c>
      <c r="D595" s="1">
        <v>1129.8</v>
      </c>
      <c r="E595" s="1">
        <v>1463.1</v>
      </c>
      <c r="F595">
        <v>408.2</v>
      </c>
    </row>
    <row r="596" spans="1:6" x14ac:dyDescent="0.35">
      <c r="A596" s="2">
        <v>45440</v>
      </c>
      <c r="B596" s="1">
        <v>1456.2</v>
      </c>
      <c r="C596" s="1">
        <v>3839.9</v>
      </c>
      <c r="D596" s="1">
        <v>1126.95</v>
      </c>
      <c r="E596" s="1">
        <v>1458.83</v>
      </c>
      <c r="F596">
        <v>405.84</v>
      </c>
    </row>
    <row r="597" spans="1:6" x14ac:dyDescent="0.35">
      <c r="A597" s="2">
        <v>45441</v>
      </c>
      <c r="B597" s="1">
        <v>1440.78</v>
      </c>
      <c r="C597" s="1">
        <v>3803.65</v>
      </c>
      <c r="D597" s="1">
        <v>1102</v>
      </c>
      <c r="E597" s="1">
        <v>1442.82</v>
      </c>
      <c r="F597">
        <v>407.68</v>
      </c>
    </row>
    <row r="598" spans="1:6" x14ac:dyDescent="0.35">
      <c r="A598" s="2">
        <v>45442</v>
      </c>
      <c r="B598" s="1">
        <v>1424.85</v>
      </c>
      <c r="C598" s="1">
        <v>3736.1</v>
      </c>
      <c r="D598" s="1">
        <v>1113.7</v>
      </c>
      <c r="E598" s="1">
        <v>1419.45</v>
      </c>
      <c r="F598">
        <v>400.97</v>
      </c>
    </row>
    <row r="599" spans="1:6" x14ac:dyDescent="0.35">
      <c r="A599" s="2">
        <v>45443</v>
      </c>
      <c r="B599" s="1">
        <v>1430.4</v>
      </c>
      <c r="C599" s="1">
        <v>3670.95</v>
      </c>
      <c r="D599" s="1">
        <v>1121.05</v>
      </c>
      <c r="E599" s="1">
        <v>1406.9</v>
      </c>
      <c r="F599">
        <v>403.43</v>
      </c>
    </row>
    <row r="600" spans="1:6" x14ac:dyDescent="0.35">
      <c r="A600" s="2">
        <v>45446</v>
      </c>
      <c r="B600" s="1">
        <v>1510.32</v>
      </c>
      <c r="C600" s="1">
        <v>3702.85</v>
      </c>
      <c r="D600" s="1">
        <v>1160</v>
      </c>
      <c r="E600" s="1">
        <v>1405.9</v>
      </c>
      <c r="F600">
        <v>407.12</v>
      </c>
    </row>
    <row r="601" spans="1:6" x14ac:dyDescent="0.35">
      <c r="A601" s="2">
        <v>45447</v>
      </c>
      <c r="B601" s="1">
        <v>1397.28</v>
      </c>
      <c r="C601" s="1">
        <v>3715</v>
      </c>
      <c r="D601" s="1">
        <v>1071.45</v>
      </c>
      <c r="E601" s="1">
        <v>1393.65</v>
      </c>
      <c r="F601">
        <v>392.79</v>
      </c>
    </row>
    <row r="602" spans="1:6" x14ac:dyDescent="0.35">
      <c r="A602" s="2">
        <v>45448</v>
      </c>
      <c r="B602" s="1">
        <v>1420.75</v>
      </c>
      <c r="C602" s="1">
        <v>3746.45</v>
      </c>
      <c r="D602" s="1">
        <v>1108.6500000000001</v>
      </c>
      <c r="E602" s="1">
        <v>1430.1</v>
      </c>
      <c r="F602">
        <v>407.07</v>
      </c>
    </row>
    <row r="603" spans="1:6" x14ac:dyDescent="0.35">
      <c r="A603" s="2">
        <v>45449</v>
      </c>
      <c r="B603" s="1">
        <v>1431.6</v>
      </c>
      <c r="C603" s="1">
        <v>3830.4</v>
      </c>
      <c r="D603" s="1">
        <v>1110.4000000000001</v>
      </c>
      <c r="E603" s="1">
        <v>1472.25</v>
      </c>
      <c r="F603">
        <v>411.89</v>
      </c>
    </row>
    <row r="604" spans="1:6" x14ac:dyDescent="0.35">
      <c r="A604" s="2">
        <v>45450</v>
      </c>
      <c r="B604" s="1">
        <v>1469.95</v>
      </c>
      <c r="C604" s="1">
        <v>3893.95</v>
      </c>
      <c r="D604" s="1">
        <v>1121.7</v>
      </c>
      <c r="E604" s="1">
        <v>1533.6</v>
      </c>
      <c r="F604">
        <v>415.44</v>
      </c>
    </row>
    <row r="605" spans="1:6" x14ac:dyDescent="0.35">
      <c r="A605" s="2">
        <v>45453</v>
      </c>
      <c r="B605" s="1">
        <v>1471.4</v>
      </c>
      <c r="C605" s="1">
        <v>3858.7</v>
      </c>
      <c r="D605" s="1">
        <v>1123.8</v>
      </c>
      <c r="E605" s="1">
        <v>1499.75</v>
      </c>
      <c r="F605">
        <v>413.31</v>
      </c>
    </row>
    <row r="606" spans="1:6" x14ac:dyDescent="0.35">
      <c r="A606" s="2">
        <v>45454</v>
      </c>
      <c r="B606" s="1">
        <v>1456.68</v>
      </c>
      <c r="C606" s="1">
        <v>3852.1</v>
      </c>
      <c r="D606" s="1">
        <v>1118.2</v>
      </c>
      <c r="E606" s="1">
        <v>1495.75</v>
      </c>
      <c r="F606">
        <v>409.62</v>
      </c>
    </row>
    <row r="607" spans="1:6" x14ac:dyDescent="0.35">
      <c r="A607" s="2">
        <v>45455</v>
      </c>
      <c r="B607" s="1">
        <v>1463.32</v>
      </c>
      <c r="C607" s="1">
        <v>3831.65</v>
      </c>
      <c r="D607" s="1">
        <v>1119.55</v>
      </c>
      <c r="E607" s="1">
        <v>1485.2</v>
      </c>
      <c r="F607">
        <v>408.96</v>
      </c>
    </row>
    <row r="608" spans="1:6" x14ac:dyDescent="0.35">
      <c r="A608" s="2">
        <v>45456</v>
      </c>
      <c r="B608" s="1">
        <v>1465.25</v>
      </c>
      <c r="C608" s="1">
        <v>3878.15</v>
      </c>
      <c r="D608" s="1">
        <v>1107.3499999999999</v>
      </c>
      <c r="E608" s="1">
        <v>1493.95</v>
      </c>
      <c r="F608">
        <v>407.07</v>
      </c>
    </row>
    <row r="609" spans="1:6" x14ac:dyDescent="0.35">
      <c r="A609" s="2">
        <v>45457</v>
      </c>
      <c r="B609" s="1">
        <v>1477.55</v>
      </c>
      <c r="C609" s="1">
        <v>3832.05</v>
      </c>
      <c r="D609" s="1">
        <v>1105.6500000000001</v>
      </c>
      <c r="E609" s="1">
        <v>1488.9</v>
      </c>
      <c r="F609">
        <v>407.87</v>
      </c>
    </row>
    <row r="610" spans="1:6" x14ac:dyDescent="0.35">
      <c r="A610" s="2">
        <v>45461</v>
      </c>
      <c r="B610" s="1">
        <v>1481.03</v>
      </c>
      <c r="C610" s="1">
        <v>3815.1</v>
      </c>
      <c r="D610" s="1">
        <v>1122.8499999999999</v>
      </c>
      <c r="E610" s="1">
        <v>1498.2</v>
      </c>
      <c r="F610">
        <v>405.6</v>
      </c>
    </row>
    <row r="611" spans="1:6" x14ac:dyDescent="0.35">
      <c r="A611" s="2">
        <v>45462</v>
      </c>
      <c r="B611" s="1">
        <v>1458.65</v>
      </c>
      <c r="C611" s="1">
        <v>3801.7</v>
      </c>
      <c r="D611" s="1">
        <v>1144.45</v>
      </c>
      <c r="E611" s="1">
        <v>1511.35</v>
      </c>
      <c r="F611">
        <v>400.78</v>
      </c>
    </row>
    <row r="612" spans="1:6" x14ac:dyDescent="0.35">
      <c r="A612" s="2">
        <v>45463</v>
      </c>
      <c r="B612" s="1">
        <v>1473.7</v>
      </c>
      <c r="C612" s="1">
        <v>3787.25</v>
      </c>
      <c r="D612" s="1">
        <v>1156.8</v>
      </c>
      <c r="E612" s="1">
        <v>1515.4</v>
      </c>
      <c r="F612">
        <v>400.45</v>
      </c>
    </row>
    <row r="613" spans="1:6" x14ac:dyDescent="0.35">
      <c r="A613" s="2">
        <v>45464</v>
      </c>
      <c r="B613" s="1">
        <v>1454.2</v>
      </c>
      <c r="C613" s="1">
        <v>3810.75</v>
      </c>
      <c r="D613" s="1">
        <v>1158.6500000000001</v>
      </c>
      <c r="E613" s="1">
        <v>1532.7</v>
      </c>
      <c r="F613">
        <v>396.95</v>
      </c>
    </row>
    <row r="614" spans="1:6" x14ac:dyDescent="0.35">
      <c r="A614" s="2">
        <v>45467</v>
      </c>
      <c r="B614" s="1">
        <v>1441.47</v>
      </c>
      <c r="C614" s="1">
        <v>3816.8</v>
      </c>
      <c r="D614" s="1">
        <v>1170.0999999999999</v>
      </c>
      <c r="E614" s="1">
        <v>1527.15</v>
      </c>
      <c r="F614">
        <v>400.45</v>
      </c>
    </row>
    <row r="615" spans="1:6" x14ac:dyDescent="0.35">
      <c r="A615" s="2">
        <v>45468</v>
      </c>
      <c r="B615" s="1">
        <v>1454.15</v>
      </c>
      <c r="C615" s="1">
        <v>3838.45</v>
      </c>
      <c r="D615" s="1">
        <v>1197.95</v>
      </c>
      <c r="E615" s="1">
        <v>1541.95</v>
      </c>
      <c r="F615">
        <v>400.45</v>
      </c>
    </row>
    <row r="616" spans="1:6" x14ac:dyDescent="0.35">
      <c r="A616" s="2">
        <v>45469</v>
      </c>
      <c r="B616" s="1">
        <v>1514.03</v>
      </c>
      <c r="C616" s="1">
        <v>3855.85</v>
      </c>
      <c r="D616" s="1">
        <v>1218</v>
      </c>
      <c r="E616" s="1">
        <v>1540.7</v>
      </c>
      <c r="F616">
        <v>401.06</v>
      </c>
    </row>
    <row r="617" spans="1:6" x14ac:dyDescent="0.35">
      <c r="A617" s="2">
        <v>45470</v>
      </c>
      <c r="B617" s="1">
        <v>1530.55</v>
      </c>
      <c r="C617" s="1">
        <v>3934.15</v>
      </c>
      <c r="D617" s="1">
        <v>1219.9000000000001</v>
      </c>
      <c r="E617" s="1">
        <v>1573.35</v>
      </c>
      <c r="F617">
        <v>402.62</v>
      </c>
    </row>
    <row r="618" spans="1:6" x14ac:dyDescent="0.35">
      <c r="A618" s="2">
        <v>45471</v>
      </c>
      <c r="B618" s="1">
        <v>1565.4</v>
      </c>
      <c r="C618" s="1">
        <v>3904.15</v>
      </c>
      <c r="D618" s="1">
        <v>1199.5999999999999</v>
      </c>
      <c r="E618" s="1">
        <v>1566.75</v>
      </c>
      <c r="F618">
        <v>401.96</v>
      </c>
    </row>
    <row r="619" spans="1:6" x14ac:dyDescent="0.35">
      <c r="A619" s="2">
        <v>45474</v>
      </c>
      <c r="B619" s="1">
        <v>1560.15</v>
      </c>
      <c r="C619" s="1">
        <v>3978.2</v>
      </c>
      <c r="D619" s="1">
        <v>1211.8499999999999</v>
      </c>
      <c r="E619" s="1">
        <v>1590.8</v>
      </c>
      <c r="F619">
        <v>405.89</v>
      </c>
    </row>
    <row r="620" spans="1:6" x14ac:dyDescent="0.35">
      <c r="A620" s="2">
        <v>45475</v>
      </c>
      <c r="B620" s="1">
        <v>1565.18</v>
      </c>
      <c r="C620" s="1">
        <v>4017.4</v>
      </c>
      <c r="D620" s="1">
        <v>1190.5999999999999</v>
      </c>
      <c r="E620" s="1">
        <v>1621.05</v>
      </c>
      <c r="F620">
        <v>402.53</v>
      </c>
    </row>
    <row r="621" spans="1:6" x14ac:dyDescent="0.35">
      <c r="A621" s="2">
        <v>45476</v>
      </c>
      <c r="B621" s="1">
        <v>1552.43</v>
      </c>
      <c r="C621" s="1">
        <v>3965.25</v>
      </c>
      <c r="D621" s="1">
        <v>1201.5999999999999</v>
      </c>
      <c r="E621" s="1">
        <v>1627.4</v>
      </c>
      <c r="F621">
        <v>405.18</v>
      </c>
    </row>
    <row r="622" spans="1:6" x14ac:dyDescent="0.35">
      <c r="A622" s="2">
        <v>45477</v>
      </c>
      <c r="B622" s="1">
        <v>1554.03</v>
      </c>
      <c r="C622" s="1">
        <v>4020.95</v>
      </c>
      <c r="D622" s="1">
        <v>1233</v>
      </c>
      <c r="E622" s="1">
        <v>1650.65</v>
      </c>
      <c r="F622">
        <v>405.89</v>
      </c>
    </row>
    <row r="623" spans="1:6" x14ac:dyDescent="0.35">
      <c r="A623" s="2">
        <v>45478</v>
      </c>
      <c r="B623" s="1">
        <v>1588.63</v>
      </c>
      <c r="C623" s="1">
        <v>4011.8</v>
      </c>
      <c r="D623" s="1">
        <v>1233.4000000000001</v>
      </c>
      <c r="E623" s="1">
        <v>1647.45</v>
      </c>
      <c r="F623">
        <v>410.24</v>
      </c>
    </row>
    <row r="624" spans="1:6" x14ac:dyDescent="0.35">
      <c r="A624" s="2">
        <v>45481</v>
      </c>
      <c r="B624" s="1">
        <v>1600.9</v>
      </c>
      <c r="C624" s="1">
        <v>3993.2</v>
      </c>
      <c r="D624" s="1">
        <v>1235.05</v>
      </c>
      <c r="E624" s="1">
        <v>1661.65</v>
      </c>
      <c r="F624">
        <v>419.65</v>
      </c>
    </row>
    <row r="625" spans="1:6" x14ac:dyDescent="0.35">
      <c r="A625" s="2">
        <v>45482</v>
      </c>
      <c r="B625" s="1">
        <v>1590.28</v>
      </c>
      <c r="C625" s="1">
        <v>3985.5</v>
      </c>
      <c r="D625" s="1">
        <v>1248.25</v>
      </c>
      <c r="E625" s="1">
        <v>1657.15</v>
      </c>
      <c r="F625">
        <v>428.17</v>
      </c>
    </row>
    <row r="626" spans="1:6" x14ac:dyDescent="0.35">
      <c r="A626" s="2">
        <v>45483</v>
      </c>
      <c r="B626" s="1">
        <v>1584.22</v>
      </c>
      <c r="C626" s="1">
        <v>3909.15</v>
      </c>
      <c r="D626" s="1">
        <v>1243.2</v>
      </c>
      <c r="E626" s="1">
        <v>1648.25</v>
      </c>
      <c r="F626">
        <v>427.08</v>
      </c>
    </row>
    <row r="627" spans="1:6" x14ac:dyDescent="0.35">
      <c r="A627" s="2">
        <v>45484</v>
      </c>
      <c r="B627" s="1">
        <v>1580.65</v>
      </c>
      <c r="C627" s="1">
        <v>3923.7</v>
      </c>
      <c r="D627" s="1">
        <v>1238.45</v>
      </c>
      <c r="E627" s="1">
        <v>1652.7</v>
      </c>
      <c r="F627">
        <v>433.89</v>
      </c>
    </row>
    <row r="628" spans="1:6" x14ac:dyDescent="0.35">
      <c r="A628" s="2">
        <v>45485</v>
      </c>
      <c r="B628" s="1">
        <v>1596.72</v>
      </c>
      <c r="C628" s="1">
        <v>4183.95</v>
      </c>
      <c r="D628" s="1">
        <v>1232.9000000000001</v>
      </c>
      <c r="E628" s="1">
        <v>1711.75</v>
      </c>
      <c r="F628">
        <v>434.27</v>
      </c>
    </row>
    <row r="629" spans="1:6" x14ac:dyDescent="0.35">
      <c r="A629" s="2">
        <v>45488</v>
      </c>
      <c r="B629" s="1">
        <v>1597.22</v>
      </c>
      <c r="C629" s="1">
        <v>4169.2</v>
      </c>
      <c r="D629" s="1">
        <v>1229.95</v>
      </c>
      <c r="E629" s="1">
        <v>1707.05</v>
      </c>
      <c r="F629">
        <v>438.38</v>
      </c>
    </row>
    <row r="630" spans="1:6" x14ac:dyDescent="0.35">
      <c r="A630" s="2">
        <v>45489</v>
      </c>
      <c r="B630" s="1">
        <v>1576.25</v>
      </c>
      <c r="C630" s="1">
        <v>4178.45</v>
      </c>
      <c r="D630" s="1">
        <v>1239.9000000000001</v>
      </c>
      <c r="E630" s="1">
        <v>1726.05</v>
      </c>
      <c r="F630">
        <v>440.42</v>
      </c>
    </row>
    <row r="631" spans="1:6" x14ac:dyDescent="0.35">
      <c r="A631" s="2">
        <v>45491</v>
      </c>
      <c r="B631" s="1">
        <v>1586.68</v>
      </c>
      <c r="C631" s="1">
        <v>4315.55</v>
      </c>
      <c r="D631" s="1">
        <v>1250.3</v>
      </c>
      <c r="E631" s="1">
        <v>1758.05</v>
      </c>
      <c r="F631">
        <v>444.86</v>
      </c>
    </row>
    <row r="632" spans="1:6" x14ac:dyDescent="0.35">
      <c r="A632" s="2">
        <v>45492</v>
      </c>
      <c r="B632" s="1">
        <v>1555.15</v>
      </c>
      <c r="C632" s="1">
        <v>4302.3999999999996</v>
      </c>
      <c r="D632" s="1">
        <v>1248.6500000000001</v>
      </c>
      <c r="E632" s="1">
        <v>1792.95</v>
      </c>
      <c r="F632">
        <v>448.93</v>
      </c>
    </row>
    <row r="633" spans="1:6" x14ac:dyDescent="0.35">
      <c r="A633" s="2">
        <v>45495</v>
      </c>
      <c r="B633" s="1">
        <v>1500.68</v>
      </c>
      <c r="C633" s="1">
        <v>4287.3500000000004</v>
      </c>
      <c r="D633" s="1">
        <v>1241.1500000000001</v>
      </c>
      <c r="E633" s="1">
        <v>1810.85</v>
      </c>
      <c r="F633">
        <v>441.36</v>
      </c>
    </row>
    <row r="634" spans="1:6" x14ac:dyDescent="0.35">
      <c r="A634" s="2">
        <v>45496</v>
      </c>
      <c r="B634" s="1">
        <v>1487.9</v>
      </c>
      <c r="C634" s="1">
        <v>4302.3500000000004</v>
      </c>
      <c r="D634" s="1">
        <v>1226.75</v>
      </c>
      <c r="E634" s="1">
        <v>1836.9</v>
      </c>
      <c r="F634">
        <v>465.63</v>
      </c>
    </row>
    <row r="635" spans="1:6" x14ac:dyDescent="0.35">
      <c r="A635" s="2">
        <v>45497</v>
      </c>
      <c r="B635" s="1">
        <v>1495.7</v>
      </c>
      <c r="C635" s="1">
        <v>4306.25</v>
      </c>
      <c r="D635" s="1">
        <v>1223</v>
      </c>
      <c r="E635" s="1">
        <v>1833.95</v>
      </c>
      <c r="F635">
        <v>467.38</v>
      </c>
    </row>
    <row r="636" spans="1:6" x14ac:dyDescent="0.35">
      <c r="A636" s="2">
        <v>45498</v>
      </c>
      <c r="B636" s="1">
        <v>1492.4</v>
      </c>
      <c r="C636" s="1">
        <v>4322.5</v>
      </c>
      <c r="D636" s="1">
        <v>1197.9000000000001</v>
      </c>
      <c r="E636" s="1">
        <v>1824.85</v>
      </c>
      <c r="F636">
        <v>463.5</v>
      </c>
    </row>
    <row r="637" spans="1:6" x14ac:dyDescent="0.35">
      <c r="A637" s="2">
        <v>45499</v>
      </c>
      <c r="B637" s="1">
        <v>1509.03</v>
      </c>
      <c r="C637" s="1">
        <v>4387.8500000000004</v>
      </c>
      <c r="D637" s="1">
        <v>1207.2</v>
      </c>
      <c r="E637" s="1">
        <v>1878.9</v>
      </c>
      <c r="F637">
        <v>475.09</v>
      </c>
    </row>
    <row r="638" spans="1:6" x14ac:dyDescent="0.35">
      <c r="A638" s="2">
        <v>45502</v>
      </c>
      <c r="B638" s="1">
        <v>1520.1</v>
      </c>
      <c r="C638" s="1">
        <v>4381.1000000000004</v>
      </c>
      <c r="D638" s="1">
        <v>1212.7</v>
      </c>
      <c r="E638" s="1">
        <v>1871.1</v>
      </c>
      <c r="F638">
        <v>469.27</v>
      </c>
    </row>
    <row r="639" spans="1:6" x14ac:dyDescent="0.35">
      <c r="A639" s="2">
        <v>45503</v>
      </c>
      <c r="B639" s="1">
        <v>1513.15</v>
      </c>
      <c r="C639" s="1">
        <v>4365.3500000000004</v>
      </c>
      <c r="D639" s="1">
        <v>1209.45</v>
      </c>
      <c r="E639" s="1">
        <v>1877.15</v>
      </c>
      <c r="F639">
        <v>463.45</v>
      </c>
    </row>
    <row r="640" spans="1:6" x14ac:dyDescent="0.35">
      <c r="A640" s="2">
        <v>45504</v>
      </c>
      <c r="B640" s="1">
        <v>1505.43</v>
      </c>
      <c r="C640" s="1">
        <v>4385.3500000000004</v>
      </c>
      <c r="D640" s="1">
        <v>1214.9000000000001</v>
      </c>
      <c r="E640" s="1">
        <v>1868.25</v>
      </c>
      <c r="F640">
        <v>468.61</v>
      </c>
    </row>
    <row r="641" spans="1:6" x14ac:dyDescent="0.35">
      <c r="A641" s="2">
        <v>45505</v>
      </c>
      <c r="B641" s="1">
        <v>1515.3</v>
      </c>
      <c r="C641" s="1">
        <v>4397.1000000000004</v>
      </c>
      <c r="D641" s="1">
        <v>1210.0999999999999</v>
      </c>
      <c r="E641" s="1">
        <v>1852.6</v>
      </c>
      <c r="F641">
        <v>467.05</v>
      </c>
    </row>
    <row r="642" spans="1:6" x14ac:dyDescent="0.35">
      <c r="A642" s="2">
        <v>45506</v>
      </c>
      <c r="B642" s="1">
        <v>1499.32</v>
      </c>
      <c r="C642" s="1">
        <v>4283.05</v>
      </c>
      <c r="D642" s="1">
        <v>1196.55</v>
      </c>
      <c r="E642" s="1">
        <v>1821.2</v>
      </c>
      <c r="F642">
        <v>462.7</v>
      </c>
    </row>
    <row r="643" spans="1:6" x14ac:dyDescent="0.35">
      <c r="A643" s="2">
        <v>45509</v>
      </c>
      <c r="B643" s="1">
        <v>1447.32</v>
      </c>
      <c r="C643" s="1">
        <v>4155.05</v>
      </c>
      <c r="D643" s="1">
        <v>1172.5999999999999</v>
      </c>
      <c r="E643" s="1">
        <v>1751.9</v>
      </c>
      <c r="F643">
        <v>459.76</v>
      </c>
    </row>
    <row r="644" spans="1:6" x14ac:dyDescent="0.35">
      <c r="A644" s="2">
        <v>45510</v>
      </c>
      <c r="B644" s="1">
        <v>1456.05</v>
      </c>
      <c r="C644" s="1">
        <v>4171.2</v>
      </c>
      <c r="D644" s="1">
        <v>1166.8499999999999</v>
      </c>
      <c r="E644" s="1">
        <v>1751.1</v>
      </c>
      <c r="F644">
        <v>460.05</v>
      </c>
    </row>
    <row r="645" spans="1:6" x14ac:dyDescent="0.35">
      <c r="A645" s="2">
        <v>45511</v>
      </c>
      <c r="B645" s="1">
        <v>1464.82</v>
      </c>
      <c r="C645" s="1">
        <v>4200.45</v>
      </c>
      <c r="D645" s="1">
        <v>1172.45</v>
      </c>
      <c r="E645" s="1">
        <v>1791.65</v>
      </c>
      <c r="F645">
        <v>466.05</v>
      </c>
    </row>
    <row r="646" spans="1:6" x14ac:dyDescent="0.35">
      <c r="A646" s="2">
        <v>45512</v>
      </c>
      <c r="B646" s="1">
        <v>1449.13</v>
      </c>
      <c r="C646" s="1">
        <v>4172.55</v>
      </c>
      <c r="D646" s="1">
        <v>1164.5999999999999</v>
      </c>
      <c r="E646" s="1">
        <v>1743.15</v>
      </c>
      <c r="F646">
        <v>468.04</v>
      </c>
    </row>
    <row r="647" spans="1:6" x14ac:dyDescent="0.35">
      <c r="A647" s="2">
        <v>45513</v>
      </c>
      <c r="B647" s="1">
        <v>1474.3</v>
      </c>
      <c r="C647" s="1">
        <v>4228.75</v>
      </c>
      <c r="D647" s="1">
        <v>1171.5999999999999</v>
      </c>
      <c r="E647" s="1">
        <v>1770.75</v>
      </c>
      <c r="F647">
        <v>469.13</v>
      </c>
    </row>
    <row r="648" spans="1:6" x14ac:dyDescent="0.35">
      <c r="A648" s="2">
        <v>45516</v>
      </c>
      <c r="B648" s="1">
        <v>1460.63</v>
      </c>
      <c r="C648" s="1">
        <v>4195.6499999999996</v>
      </c>
      <c r="D648" s="1">
        <v>1172.8</v>
      </c>
      <c r="E648" s="1">
        <v>1797.4</v>
      </c>
      <c r="F648">
        <v>467.9</v>
      </c>
    </row>
    <row r="649" spans="1:6" x14ac:dyDescent="0.35">
      <c r="A649" s="2">
        <v>45517</v>
      </c>
      <c r="B649" s="1">
        <v>1463.63</v>
      </c>
      <c r="C649" s="1">
        <v>4196.95</v>
      </c>
      <c r="D649" s="1">
        <v>1168.3499999999999</v>
      </c>
      <c r="E649" s="1">
        <v>1797.45</v>
      </c>
      <c r="F649">
        <v>463.55</v>
      </c>
    </row>
    <row r="650" spans="1:6" x14ac:dyDescent="0.35">
      <c r="A650" s="2">
        <v>45518</v>
      </c>
      <c r="B650" s="1">
        <v>1461.85</v>
      </c>
      <c r="C650" s="1">
        <v>4295.25</v>
      </c>
      <c r="D650" s="1">
        <v>1161.6500000000001</v>
      </c>
      <c r="E650" s="1">
        <v>1823.25</v>
      </c>
      <c r="F650">
        <v>465.63</v>
      </c>
    </row>
    <row r="651" spans="1:6" x14ac:dyDescent="0.35">
      <c r="A651" s="2">
        <v>45520</v>
      </c>
      <c r="B651" s="1">
        <v>1478.2</v>
      </c>
      <c r="C651" s="1">
        <v>4416.05</v>
      </c>
      <c r="D651" s="1">
        <v>1187.25</v>
      </c>
      <c r="E651" s="1">
        <v>1858.95</v>
      </c>
      <c r="F651">
        <v>475.51</v>
      </c>
    </row>
    <row r="652" spans="1:6" x14ac:dyDescent="0.35">
      <c r="A652" s="2">
        <v>45523</v>
      </c>
      <c r="B652" s="1">
        <v>1488.4</v>
      </c>
      <c r="C652" s="1">
        <v>4490</v>
      </c>
      <c r="D652" s="1">
        <v>1175.9000000000001</v>
      </c>
      <c r="E652" s="1">
        <v>1864.8</v>
      </c>
      <c r="F652">
        <v>474.38</v>
      </c>
    </row>
    <row r="653" spans="1:6" x14ac:dyDescent="0.35">
      <c r="A653" s="2">
        <v>45524</v>
      </c>
      <c r="B653" s="1">
        <v>1495.95</v>
      </c>
      <c r="C653" s="1">
        <v>4523.3</v>
      </c>
      <c r="D653" s="1">
        <v>1179.45</v>
      </c>
      <c r="E653" s="1">
        <v>1872.2</v>
      </c>
      <c r="F653">
        <v>471.87</v>
      </c>
    </row>
    <row r="654" spans="1:6" x14ac:dyDescent="0.35">
      <c r="A654" s="2">
        <v>45525</v>
      </c>
      <c r="B654" s="1">
        <v>1498.68</v>
      </c>
      <c r="C654" s="1">
        <v>4551.5</v>
      </c>
      <c r="D654" s="1">
        <v>1174.8499999999999</v>
      </c>
      <c r="E654" s="1">
        <v>1872.7</v>
      </c>
      <c r="F654">
        <v>478.11</v>
      </c>
    </row>
    <row r="655" spans="1:6" x14ac:dyDescent="0.35">
      <c r="A655" s="2">
        <v>45526</v>
      </c>
      <c r="B655" s="1">
        <v>1498.13</v>
      </c>
      <c r="C655" s="1">
        <v>4502</v>
      </c>
      <c r="D655" s="1">
        <v>1191.0999999999999</v>
      </c>
      <c r="E655" s="1">
        <v>1880.25</v>
      </c>
      <c r="F655">
        <v>477.31</v>
      </c>
    </row>
    <row r="656" spans="1:6" x14ac:dyDescent="0.35">
      <c r="A656" s="2">
        <v>45527</v>
      </c>
      <c r="B656" s="1">
        <v>1499.97</v>
      </c>
      <c r="C656" s="1">
        <v>4463.8999999999996</v>
      </c>
      <c r="D656" s="1">
        <v>1203.5</v>
      </c>
      <c r="E656" s="1">
        <v>1862.1</v>
      </c>
      <c r="F656">
        <v>478.49</v>
      </c>
    </row>
    <row r="657" spans="1:6" x14ac:dyDescent="0.35">
      <c r="A657" s="2">
        <v>45530</v>
      </c>
      <c r="B657" s="1">
        <v>1512.6</v>
      </c>
      <c r="C657" s="1">
        <v>4502.45</v>
      </c>
      <c r="D657" s="1">
        <v>1213.3</v>
      </c>
      <c r="E657" s="1">
        <v>1876.15</v>
      </c>
      <c r="F657">
        <v>478.4</v>
      </c>
    </row>
    <row r="658" spans="1:6" x14ac:dyDescent="0.35">
      <c r="A658" s="2">
        <v>45531</v>
      </c>
      <c r="B658" s="1">
        <v>1500.45</v>
      </c>
      <c r="C658" s="1">
        <v>4497.1499999999996</v>
      </c>
      <c r="D658" s="1">
        <v>1226.3499999999999</v>
      </c>
      <c r="E658" s="1">
        <v>1900.1</v>
      </c>
      <c r="F658">
        <v>473.57</v>
      </c>
    </row>
    <row r="659" spans="1:6" x14ac:dyDescent="0.35">
      <c r="A659" s="2">
        <v>45532</v>
      </c>
      <c r="B659" s="1">
        <v>1498.3</v>
      </c>
      <c r="C659" s="1">
        <v>4506.05</v>
      </c>
      <c r="D659" s="1">
        <v>1223.8499999999999</v>
      </c>
      <c r="E659" s="1">
        <v>1939.1</v>
      </c>
      <c r="F659">
        <v>470.45</v>
      </c>
    </row>
    <row r="660" spans="1:6" x14ac:dyDescent="0.35">
      <c r="A660" s="2">
        <v>45533</v>
      </c>
      <c r="B660" s="1">
        <v>1520.93</v>
      </c>
      <c r="C660" s="1">
        <v>4511.8</v>
      </c>
      <c r="D660" s="1">
        <v>1221.9000000000001</v>
      </c>
      <c r="E660" s="1">
        <v>1933.35</v>
      </c>
      <c r="F660">
        <v>477.83</v>
      </c>
    </row>
    <row r="661" spans="1:6" x14ac:dyDescent="0.35">
      <c r="A661" s="2">
        <v>45534</v>
      </c>
      <c r="B661" s="1">
        <v>1509.63</v>
      </c>
      <c r="C661" s="1">
        <v>4553.75</v>
      </c>
      <c r="D661" s="1">
        <v>1229.2</v>
      </c>
      <c r="E661" s="1">
        <v>1943.7</v>
      </c>
      <c r="F661">
        <v>474.8</v>
      </c>
    </row>
    <row r="662" spans="1:6" x14ac:dyDescent="0.35">
      <c r="A662" s="2">
        <v>45537</v>
      </c>
      <c r="B662" s="1">
        <v>1516.25</v>
      </c>
      <c r="C662" s="1">
        <v>4521.05</v>
      </c>
      <c r="D662" s="1">
        <v>1229.95</v>
      </c>
      <c r="E662" s="1">
        <v>1964.5</v>
      </c>
      <c r="F662">
        <v>482.51</v>
      </c>
    </row>
    <row r="663" spans="1:6" x14ac:dyDescent="0.35">
      <c r="A663" s="2">
        <v>45538</v>
      </c>
      <c r="B663" s="1">
        <v>1509.13</v>
      </c>
      <c r="C663" s="1">
        <v>4512.3500000000004</v>
      </c>
      <c r="D663" s="1">
        <v>1247.7</v>
      </c>
      <c r="E663" s="1">
        <v>1941.25</v>
      </c>
      <c r="F663">
        <v>481.9</v>
      </c>
    </row>
    <row r="664" spans="1:6" x14ac:dyDescent="0.35">
      <c r="A664" s="2">
        <v>45539</v>
      </c>
      <c r="B664" s="1">
        <v>1514.55</v>
      </c>
      <c r="C664" s="1">
        <v>4479.25</v>
      </c>
      <c r="D664" s="1">
        <v>1236.3499999999999</v>
      </c>
      <c r="E664" s="1">
        <v>1922.45</v>
      </c>
      <c r="F664">
        <v>479.01</v>
      </c>
    </row>
    <row r="665" spans="1:6" x14ac:dyDescent="0.35">
      <c r="A665" s="2">
        <v>45540</v>
      </c>
      <c r="B665" s="1">
        <v>1492.97</v>
      </c>
      <c r="C665" s="1">
        <v>4475.95</v>
      </c>
      <c r="D665" s="1">
        <v>1235.95</v>
      </c>
      <c r="E665" s="1">
        <v>1933.15</v>
      </c>
      <c r="F665">
        <v>483.6</v>
      </c>
    </row>
    <row r="666" spans="1:6" x14ac:dyDescent="0.35">
      <c r="A666" s="2">
        <v>45541</v>
      </c>
      <c r="B666" s="1">
        <v>1464.82</v>
      </c>
      <c r="C666" s="1">
        <v>4456.75</v>
      </c>
      <c r="D666" s="1">
        <v>1208.1500000000001</v>
      </c>
      <c r="E666" s="1">
        <v>1901.85</v>
      </c>
      <c r="F666">
        <v>474.61</v>
      </c>
    </row>
    <row r="667" spans="1:6" x14ac:dyDescent="0.35">
      <c r="A667" s="2">
        <v>45544</v>
      </c>
      <c r="B667" s="1">
        <v>1462.45</v>
      </c>
      <c r="C667" s="1">
        <v>4449.55</v>
      </c>
      <c r="D667" s="1">
        <v>1235</v>
      </c>
      <c r="E667" s="1">
        <v>1894.65</v>
      </c>
      <c r="F667">
        <v>484.12</v>
      </c>
    </row>
    <row r="668" spans="1:6" x14ac:dyDescent="0.35">
      <c r="A668" s="2">
        <v>45545</v>
      </c>
      <c r="B668" s="1">
        <v>1461.53</v>
      </c>
      <c r="C668" s="1">
        <v>4507.8500000000004</v>
      </c>
      <c r="D668" s="1">
        <v>1237.3</v>
      </c>
      <c r="E668" s="1">
        <v>1912.3</v>
      </c>
      <c r="F668">
        <v>485.87</v>
      </c>
    </row>
    <row r="669" spans="1:6" x14ac:dyDescent="0.35">
      <c r="A669" s="2">
        <v>45546</v>
      </c>
      <c r="B669" s="1">
        <v>1451.5</v>
      </c>
      <c r="C669" s="1">
        <v>4479.3500000000004</v>
      </c>
      <c r="D669" s="1">
        <v>1236.3499999999999</v>
      </c>
      <c r="E669" s="1">
        <v>1910.15</v>
      </c>
      <c r="F669">
        <v>486.58</v>
      </c>
    </row>
    <row r="670" spans="1:6" x14ac:dyDescent="0.35">
      <c r="A670" s="2">
        <v>45547</v>
      </c>
      <c r="B670" s="1">
        <v>1479.8</v>
      </c>
      <c r="C670" s="1">
        <v>4517.7</v>
      </c>
      <c r="D670" s="1">
        <v>1252.1500000000001</v>
      </c>
      <c r="E670" s="1">
        <v>1950.45</v>
      </c>
      <c r="F670">
        <v>491.45</v>
      </c>
    </row>
    <row r="671" spans="1:6" x14ac:dyDescent="0.35">
      <c r="A671" s="2">
        <v>45548</v>
      </c>
      <c r="B671" s="1">
        <v>1472.63</v>
      </c>
      <c r="C671" s="1">
        <v>4522.6000000000004</v>
      </c>
      <c r="D671" s="1">
        <v>1250.3499999999999</v>
      </c>
      <c r="E671" s="1">
        <v>1944.1</v>
      </c>
      <c r="F671">
        <v>486.11</v>
      </c>
    </row>
    <row r="672" spans="1:6" x14ac:dyDescent="0.35">
      <c r="A672" s="2">
        <v>45551</v>
      </c>
      <c r="B672" s="1">
        <v>1471.35</v>
      </c>
      <c r="C672" s="1">
        <v>4513.25</v>
      </c>
      <c r="D672" s="1">
        <v>1262.8499999999999</v>
      </c>
      <c r="E672" s="1">
        <v>1950.25</v>
      </c>
      <c r="F672">
        <v>483.51</v>
      </c>
    </row>
    <row r="673" spans="1:6" x14ac:dyDescent="0.35">
      <c r="A673" s="2">
        <v>45552</v>
      </c>
      <c r="B673" s="1">
        <v>1472.3</v>
      </c>
      <c r="C673" s="1">
        <v>4505.6499999999996</v>
      </c>
      <c r="D673" s="1">
        <v>1268.0999999999999</v>
      </c>
      <c r="E673" s="1">
        <v>1952.55</v>
      </c>
      <c r="F673">
        <v>480.34</v>
      </c>
    </row>
    <row r="674" spans="1:6" x14ac:dyDescent="0.35">
      <c r="A674" s="2">
        <v>45553</v>
      </c>
      <c r="B674" s="1">
        <v>1463.45</v>
      </c>
      <c r="C674" s="1">
        <v>4346.1499999999996</v>
      </c>
      <c r="D674" s="1">
        <v>1288.3499999999999</v>
      </c>
      <c r="E674" s="1">
        <v>1892.15</v>
      </c>
      <c r="F674">
        <v>479.96</v>
      </c>
    </row>
    <row r="675" spans="1:6" x14ac:dyDescent="0.35">
      <c r="A675" s="2">
        <v>45554</v>
      </c>
      <c r="B675" s="1">
        <v>1469.68</v>
      </c>
      <c r="C675" s="1">
        <v>4296.1499999999996</v>
      </c>
      <c r="D675" s="1">
        <v>1292</v>
      </c>
      <c r="E675" s="1">
        <v>1894.2</v>
      </c>
      <c r="F675">
        <v>480.81</v>
      </c>
    </row>
    <row r="676" spans="1:6" x14ac:dyDescent="0.35">
      <c r="A676" s="2">
        <v>45555</v>
      </c>
      <c r="B676" s="1">
        <v>1485.93</v>
      </c>
      <c r="C676" s="1">
        <v>4284.8999999999996</v>
      </c>
      <c r="D676" s="1">
        <v>1338.45</v>
      </c>
      <c r="E676" s="1">
        <v>1905.75</v>
      </c>
      <c r="F676">
        <v>486.63</v>
      </c>
    </row>
    <row r="677" spans="1:6" x14ac:dyDescent="0.35">
      <c r="A677" s="2">
        <v>45558</v>
      </c>
      <c r="B677" s="1">
        <v>1493.38</v>
      </c>
      <c r="C677" s="1">
        <v>4268.5</v>
      </c>
      <c r="D677" s="1">
        <v>1321.9</v>
      </c>
      <c r="E677" s="1">
        <v>1896.45</v>
      </c>
      <c r="F677">
        <v>489.04</v>
      </c>
    </row>
    <row r="678" spans="1:6" x14ac:dyDescent="0.35">
      <c r="A678" s="2">
        <v>45559</v>
      </c>
      <c r="B678" s="1">
        <v>1489.38</v>
      </c>
      <c r="C678" s="1">
        <v>4271.3</v>
      </c>
      <c r="D678" s="1">
        <v>1318.6</v>
      </c>
      <c r="E678" s="1">
        <v>1898.6</v>
      </c>
      <c r="F678">
        <v>487.43</v>
      </c>
    </row>
    <row r="679" spans="1:6" x14ac:dyDescent="0.35">
      <c r="A679" s="2">
        <v>45560</v>
      </c>
      <c r="B679" s="1">
        <v>1493.95</v>
      </c>
      <c r="C679" s="1">
        <v>4274.75</v>
      </c>
      <c r="D679" s="1">
        <v>1323.85</v>
      </c>
      <c r="E679" s="1">
        <v>1895.3</v>
      </c>
      <c r="F679">
        <v>489.61</v>
      </c>
    </row>
    <row r="680" spans="1:6" x14ac:dyDescent="0.35">
      <c r="A680" s="2">
        <v>45561</v>
      </c>
      <c r="B680" s="1">
        <v>1497.95</v>
      </c>
      <c r="C680" s="1">
        <v>4292.5</v>
      </c>
      <c r="D680" s="1">
        <v>1329.05</v>
      </c>
      <c r="E680" s="1">
        <v>1900.25</v>
      </c>
      <c r="F680">
        <v>494.53</v>
      </c>
    </row>
    <row r="681" spans="1:6" x14ac:dyDescent="0.35">
      <c r="A681" s="2">
        <v>45562</v>
      </c>
      <c r="B681" s="1">
        <v>1526.18</v>
      </c>
      <c r="C681" s="1">
        <v>4308.7</v>
      </c>
      <c r="D681" s="1">
        <v>1306.5999999999999</v>
      </c>
      <c r="E681" s="1">
        <v>1906.75</v>
      </c>
      <c r="F681">
        <v>494.48</v>
      </c>
    </row>
    <row r="682" spans="1:6" x14ac:dyDescent="0.35">
      <c r="A682" s="2">
        <v>45565</v>
      </c>
      <c r="B682" s="1">
        <v>1476.57</v>
      </c>
      <c r="C682" s="1">
        <v>4268.5</v>
      </c>
      <c r="D682" s="1">
        <v>1273</v>
      </c>
      <c r="E682" s="1">
        <v>1875.6</v>
      </c>
      <c r="F682">
        <v>490.18</v>
      </c>
    </row>
    <row r="683" spans="1:6" x14ac:dyDescent="0.35">
      <c r="A683" s="2">
        <v>45566</v>
      </c>
      <c r="B683" s="1">
        <v>1464.82</v>
      </c>
      <c r="C683" s="1">
        <v>4287.8999999999996</v>
      </c>
      <c r="D683" s="1">
        <v>1274.4000000000001</v>
      </c>
      <c r="E683" s="1">
        <v>1904.35</v>
      </c>
      <c r="F683">
        <v>488.33</v>
      </c>
    </row>
    <row r="684" spans="1:6" x14ac:dyDescent="0.35">
      <c r="A684" s="2">
        <v>45568</v>
      </c>
      <c r="B684" s="1">
        <v>1406.97</v>
      </c>
      <c r="C684" s="1">
        <v>4232.75</v>
      </c>
      <c r="D684" s="1">
        <v>1256.3499999999999</v>
      </c>
      <c r="E684" s="1">
        <v>1893.4</v>
      </c>
      <c r="F684">
        <v>485.07</v>
      </c>
    </row>
    <row r="685" spans="1:6" x14ac:dyDescent="0.35">
      <c r="A685" s="2">
        <v>45569</v>
      </c>
      <c r="B685" s="1">
        <v>1386.53</v>
      </c>
      <c r="C685" s="1">
        <v>4252.25</v>
      </c>
      <c r="D685" s="1">
        <v>1239.75</v>
      </c>
      <c r="E685" s="1">
        <v>1918.15</v>
      </c>
      <c r="F685">
        <v>476.36</v>
      </c>
    </row>
    <row r="686" spans="1:6" x14ac:dyDescent="0.35">
      <c r="A686" s="2">
        <v>45572</v>
      </c>
      <c r="B686" s="1">
        <v>1370.72</v>
      </c>
      <c r="C686" s="1">
        <v>4272.8500000000004</v>
      </c>
      <c r="D686" s="1">
        <v>1233.9000000000001</v>
      </c>
      <c r="E686" s="1">
        <v>1934.3</v>
      </c>
      <c r="F686">
        <v>482.66</v>
      </c>
    </row>
    <row r="687" spans="1:6" x14ac:dyDescent="0.35">
      <c r="A687" s="2">
        <v>45573</v>
      </c>
      <c r="B687" s="1">
        <v>1397.35</v>
      </c>
      <c r="C687" s="1">
        <v>4253.25</v>
      </c>
      <c r="D687" s="1">
        <v>1236.5999999999999</v>
      </c>
      <c r="E687" s="1">
        <v>1948.55</v>
      </c>
      <c r="F687">
        <v>480.53</v>
      </c>
    </row>
    <row r="688" spans="1:6" x14ac:dyDescent="0.35">
      <c r="A688" s="2">
        <v>45574</v>
      </c>
      <c r="B688" s="1">
        <v>1374.6</v>
      </c>
      <c r="C688" s="1">
        <v>4252.95</v>
      </c>
      <c r="D688" s="1">
        <v>1244.1500000000001</v>
      </c>
      <c r="E688" s="1">
        <v>1952.75</v>
      </c>
      <c r="F688">
        <v>465.15</v>
      </c>
    </row>
    <row r="689" spans="1:6" x14ac:dyDescent="0.35">
      <c r="A689" s="2">
        <v>45575</v>
      </c>
      <c r="B689" s="1">
        <v>1371.05</v>
      </c>
      <c r="C689" s="1">
        <v>4227.3999999999996</v>
      </c>
      <c r="D689" s="1">
        <v>1243.5</v>
      </c>
      <c r="E689" s="1">
        <v>1919</v>
      </c>
      <c r="F689">
        <v>465.49</v>
      </c>
    </row>
    <row r="690" spans="1:6" x14ac:dyDescent="0.35">
      <c r="A690" s="2">
        <v>45576</v>
      </c>
      <c r="B690" s="1">
        <v>1372.1</v>
      </c>
      <c r="C690" s="1">
        <v>4149.2</v>
      </c>
      <c r="D690" s="1">
        <v>1223</v>
      </c>
      <c r="E690" s="1">
        <v>1935.1</v>
      </c>
      <c r="F690">
        <v>461.84</v>
      </c>
    </row>
    <row r="691" spans="1:6" x14ac:dyDescent="0.35">
      <c r="A691" s="2">
        <v>45579</v>
      </c>
      <c r="B691" s="1">
        <v>1372.53</v>
      </c>
      <c r="C691" s="1">
        <v>4136.6499999999996</v>
      </c>
      <c r="D691" s="1">
        <v>1231.75</v>
      </c>
      <c r="E691" s="1">
        <v>1958.9</v>
      </c>
      <c r="F691">
        <v>470.12</v>
      </c>
    </row>
    <row r="692" spans="1:6" x14ac:dyDescent="0.35">
      <c r="A692" s="2">
        <v>45580</v>
      </c>
      <c r="B692" s="1">
        <v>1344.03</v>
      </c>
      <c r="C692" s="1">
        <v>4116.8</v>
      </c>
      <c r="D692" s="1">
        <v>1255.5</v>
      </c>
      <c r="E692" s="1">
        <v>1959.3</v>
      </c>
      <c r="F692">
        <v>471.64</v>
      </c>
    </row>
    <row r="693" spans="1:6" x14ac:dyDescent="0.35">
      <c r="A693" s="2">
        <v>45581</v>
      </c>
      <c r="B693" s="1">
        <v>1354.07</v>
      </c>
      <c r="C693" s="1">
        <v>4094.95</v>
      </c>
      <c r="D693" s="1">
        <v>1243.1500000000001</v>
      </c>
      <c r="E693" s="1">
        <v>1920.1</v>
      </c>
      <c r="F693">
        <v>466.57</v>
      </c>
    </row>
    <row r="694" spans="1:6" x14ac:dyDescent="0.35">
      <c r="A694" s="2">
        <v>45582</v>
      </c>
      <c r="B694" s="1">
        <v>1356.43</v>
      </c>
      <c r="C694" s="1">
        <v>4109</v>
      </c>
      <c r="D694" s="1">
        <v>1231.25</v>
      </c>
      <c r="E694" s="1">
        <v>1968.1</v>
      </c>
      <c r="F694">
        <v>462.51</v>
      </c>
    </row>
    <row r="695" spans="1:6" x14ac:dyDescent="0.35">
      <c r="A695" s="2">
        <v>45583</v>
      </c>
      <c r="B695" s="1">
        <v>1359.3</v>
      </c>
      <c r="C695" s="1">
        <v>4123.05</v>
      </c>
      <c r="D695" s="1">
        <v>1264.5</v>
      </c>
      <c r="E695" s="1">
        <v>1879.6</v>
      </c>
      <c r="F695">
        <v>460.42</v>
      </c>
    </row>
    <row r="696" spans="1:6" x14ac:dyDescent="0.35">
      <c r="A696" s="2">
        <v>45586</v>
      </c>
      <c r="B696" s="1">
        <v>1369.2</v>
      </c>
      <c r="C696" s="1">
        <v>4079.85</v>
      </c>
      <c r="D696" s="1">
        <v>1259.05</v>
      </c>
      <c r="E696" s="1">
        <v>1852.75</v>
      </c>
      <c r="F696">
        <v>457.54</v>
      </c>
    </row>
    <row r="697" spans="1:6" x14ac:dyDescent="0.35">
      <c r="A697" s="2">
        <v>45587</v>
      </c>
      <c r="B697" s="1">
        <v>1343.35</v>
      </c>
      <c r="C697" s="1">
        <v>4015.5</v>
      </c>
      <c r="D697" s="1">
        <v>1267.5</v>
      </c>
      <c r="E697" s="1">
        <v>1851.6</v>
      </c>
      <c r="F697">
        <v>455.79</v>
      </c>
    </row>
    <row r="698" spans="1:6" x14ac:dyDescent="0.35">
      <c r="A698" s="2">
        <v>45588</v>
      </c>
      <c r="B698" s="1">
        <v>1338.53</v>
      </c>
      <c r="C698" s="1">
        <v>4066.25</v>
      </c>
      <c r="D698" s="1">
        <v>1251.5999999999999</v>
      </c>
      <c r="E698" s="1">
        <v>1873.4</v>
      </c>
      <c r="F698">
        <v>454.42</v>
      </c>
    </row>
    <row r="699" spans="1:6" x14ac:dyDescent="0.35">
      <c r="A699" s="2">
        <v>45589</v>
      </c>
      <c r="B699" s="1">
        <v>1339.8</v>
      </c>
      <c r="C699" s="1">
        <v>4047.9</v>
      </c>
      <c r="D699" s="1">
        <v>1252.75</v>
      </c>
      <c r="E699" s="1">
        <v>1863.35</v>
      </c>
      <c r="F699">
        <v>446.23</v>
      </c>
    </row>
    <row r="700" spans="1:6" x14ac:dyDescent="0.35">
      <c r="A700" s="2">
        <v>45590</v>
      </c>
      <c r="B700" s="1">
        <v>1327.85</v>
      </c>
      <c r="C700" s="1">
        <v>4057.55</v>
      </c>
      <c r="D700" s="1">
        <v>1255.45</v>
      </c>
      <c r="E700" s="1">
        <v>1862.05</v>
      </c>
      <c r="F700">
        <v>456.26</v>
      </c>
    </row>
    <row r="701" spans="1:6" x14ac:dyDescent="0.35">
      <c r="A701" s="2">
        <v>45593</v>
      </c>
      <c r="B701" s="1">
        <v>1334.35</v>
      </c>
      <c r="C701" s="1">
        <v>4090.85</v>
      </c>
      <c r="D701" s="1">
        <v>1292.8499999999999</v>
      </c>
      <c r="E701" s="1">
        <v>1865.35</v>
      </c>
      <c r="F701">
        <v>458.01</v>
      </c>
    </row>
    <row r="702" spans="1:6" x14ac:dyDescent="0.35">
      <c r="A702" s="2">
        <v>45594</v>
      </c>
      <c r="B702" s="1">
        <v>1340</v>
      </c>
      <c r="C702" s="1">
        <v>4075.25</v>
      </c>
      <c r="D702" s="1">
        <v>1331.85</v>
      </c>
      <c r="E702" s="1">
        <v>1839.3</v>
      </c>
      <c r="F702">
        <v>461.61</v>
      </c>
    </row>
    <row r="703" spans="1:6" x14ac:dyDescent="0.35">
      <c r="A703" s="2">
        <v>45595</v>
      </c>
      <c r="B703" s="1">
        <v>1343.9</v>
      </c>
      <c r="C703" s="1">
        <v>4084.65</v>
      </c>
      <c r="D703" s="1">
        <v>1312.15</v>
      </c>
      <c r="E703" s="1">
        <v>1802.1</v>
      </c>
      <c r="F703">
        <v>465.01</v>
      </c>
    </row>
    <row r="704" spans="1:6" x14ac:dyDescent="0.35">
      <c r="A704" s="2">
        <v>45596</v>
      </c>
      <c r="B704" s="1">
        <v>1332.05</v>
      </c>
      <c r="C704" s="1">
        <v>3968.45</v>
      </c>
      <c r="D704" s="1">
        <v>1292.25</v>
      </c>
      <c r="E704" s="1">
        <v>1757.25</v>
      </c>
      <c r="F704">
        <v>462.41</v>
      </c>
    </row>
    <row r="705" spans="1:6" x14ac:dyDescent="0.35">
      <c r="A705" s="2">
        <v>45597</v>
      </c>
      <c r="B705" s="1">
        <v>1338.65</v>
      </c>
      <c r="C705" s="1">
        <v>3984.2</v>
      </c>
      <c r="D705" s="1">
        <v>1291.8</v>
      </c>
      <c r="E705" s="1">
        <v>1760.85</v>
      </c>
      <c r="F705">
        <v>463.83</v>
      </c>
    </row>
    <row r="706" spans="1:6" x14ac:dyDescent="0.35">
      <c r="A706" s="2">
        <v>45600</v>
      </c>
      <c r="B706" s="1">
        <v>1302.1500000000001</v>
      </c>
      <c r="C706" s="1">
        <v>3964.15</v>
      </c>
      <c r="D706" s="1">
        <v>1277.2</v>
      </c>
      <c r="E706" s="1">
        <v>1763.65</v>
      </c>
      <c r="F706">
        <v>458.44</v>
      </c>
    </row>
    <row r="707" spans="1:6" x14ac:dyDescent="0.35">
      <c r="A707" s="2">
        <v>45601</v>
      </c>
      <c r="B707" s="1">
        <v>1305.3</v>
      </c>
      <c r="C707" s="1">
        <v>3971.35</v>
      </c>
      <c r="D707" s="1">
        <v>1296.7</v>
      </c>
      <c r="E707" s="1">
        <v>1754.2</v>
      </c>
      <c r="F707">
        <v>454.27</v>
      </c>
    </row>
    <row r="708" spans="1:6" x14ac:dyDescent="0.35">
      <c r="A708" s="2">
        <v>45602</v>
      </c>
      <c r="B708" s="1">
        <v>1325.35</v>
      </c>
      <c r="C708" s="1">
        <v>4139.6499999999996</v>
      </c>
      <c r="D708" s="1">
        <v>1302.3499999999999</v>
      </c>
      <c r="E708" s="1">
        <v>1823.7</v>
      </c>
      <c r="F708">
        <v>455.13</v>
      </c>
    </row>
    <row r="709" spans="1:6" x14ac:dyDescent="0.35">
      <c r="A709" s="2">
        <v>45603</v>
      </c>
      <c r="B709" s="1">
        <v>1305.6500000000001</v>
      </c>
      <c r="C709" s="1">
        <v>4150.8999999999996</v>
      </c>
      <c r="D709" s="1">
        <v>1278.7</v>
      </c>
      <c r="E709" s="1">
        <v>1803.05</v>
      </c>
      <c r="F709">
        <v>452.1</v>
      </c>
    </row>
    <row r="710" spans="1:6" x14ac:dyDescent="0.35">
      <c r="A710" s="2">
        <v>45604</v>
      </c>
      <c r="B710" s="1">
        <v>1283.75</v>
      </c>
      <c r="C710" s="1">
        <v>4147</v>
      </c>
      <c r="D710" s="1">
        <v>1258.8499999999999</v>
      </c>
      <c r="E710" s="1">
        <v>1829.95</v>
      </c>
      <c r="F710">
        <v>452.24</v>
      </c>
    </row>
    <row r="711" spans="1:6" x14ac:dyDescent="0.35">
      <c r="A711" s="2">
        <v>45607</v>
      </c>
      <c r="B711" s="1">
        <v>1272.7</v>
      </c>
      <c r="C711" s="1">
        <v>4198.7</v>
      </c>
      <c r="D711" s="1">
        <v>1269.3</v>
      </c>
      <c r="E711" s="1">
        <v>1860.1</v>
      </c>
      <c r="F711">
        <v>451.2</v>
      </c>
    </row>
    <row r="712" spans="1:6" x14ac:dyDescent="0.35">
      <c r="A712" s="2">
        <v>45608</v>
      </c>
      <c r="B712" s="1">
        <v>1274.25</v>
      </c>
      <c r="C712" s="1">
        <v>4197.3999999999996</v>
      </c>
      <c r="D712" s="1">
        <v>1270.5999999999999</v>
      </c>
      <c r="E712" s="1">
        <v>1868.8</v>
      </c>
      <c r="F712">
        <v>447.32</v>
      </c>
    </row>
    <row r="713" spans="1:6" x14ac:dyDescent="0.35">
      <c r="A713" s="2">
        <v>45609</v>
      </c>
      <c r="B713" s="1">
        <v>1252.05</v>
      </c>
      <c r="C713" s="1">
        <v>4150.3500000000004</v>
      </c>
      <c r="D713" s="1">
        <v>1253.7</v>
      </c>
      <c r="E713" s="1">
        <v>1868.4</v>
      </c>
      <c r="F713">
        <v>446.71</v>
      </c>
    </row>
    <row r="714" spans="1:6" x14ac:dyDescent="0.35">
      <c r="A714" s="2">
        <v>45610</v>
      </c>
      <c r="B714" s="1">
        <v>1267.5999999999999</v>
      </c>
      <c r="C714" s="1">
        <v>4145.8999999999996</v>
      </c>
      <c r="D714" s="1">
        <v>1256.95</v>
      </c>
      <c r="E714" s="1">
        <v>1864.55</v>
      </c>
      <c r="F714">
        <v>440.8</v>
      </c>
    </row>
    <row r="715" spans="1:6" x14ac:dyDescent="0.35">
      <c r="A715" s="2">
        <v>45614</v>
      </c>
      <c r="B715" s="1">
        <v>1260.75</v>
      </c>
      <c r="C715" s="1">
        <v>4019.5</v>
      </c>
      <c r="D715" s="1">
        <v>1253.45</v>
      </c>
      <c r="E715" s="1">
        <v>1811.45</v>
      </c>
      <c r="F715">
        <v>441.36</v>
      </c>
    </row>
    <row r="716" spans="1:6" x14ac:dyDescent="0.35">
      <c r="A716" s="2">
        <v>45615</v>
      </c>
      <c r="B716" s="1">
        <v>1241.6500000000001</v>
      </c>
      <c r="C716" s="1">
        <v>4039.55</v>
      </c>
      <c r="D716" s="1">
        <v>1249.0999999999999</v>
      </c>
      <c r="E716" s="1">
        <v>1824.75</v>
      </c>
      <c r="F716">
        <v>442.12</v>
      </c>
    </row>
    <row r="717" spans="1:6" x14ac:dyDescent="0.35">
      <c r="A717" s="2">
        <v>45617</v>
      </c>
      <c r="B717" s="1">
        <v>1223</v>
      </c>
      <c r="C717" s="1">
        <v>4072.85</v>
      </c>
      <c r="D717" s="1">
        <v>1250.55</v>
      </c>
      <c r="E717" s="1">
        <v>1834.05</v>
      </c>
      <c r="F717">
        <v>432.47</v>
      </c>
    </row>
    <row r="718" spans="1:6" x14ac:dyDescent="0.35">
      <c r="A718" s="2">
        <v>45618</v>
      </c>
      <c r="B718" s="1">
        <v>1265.4000000000001</v>
      </c>
      <c r="C718" s="1">
        <v>4244.6000000000004</v>
      </c>
      <c r="D718" s="1">
        <v>1278.05</v>
      </c>
      <c r="E718" s="1">
        <v>1902.25</v>
      </c>
      <c r="F718">
        <v>449.02</v>
      </c>
    </row>
    <row r="719" spans="1:6" x14ac:dyDescent="0.35">
      <c r="A719" s="2">
        <v>45621</v>
      </c>
      <c r="B719" s="1">
        <v>1287</v>
      </c>
      <c r="C719" s="1">
        <v>4315.1000000000004</v>
      </c>
      <c r="D719" s="1">
        <v>1300.95</v>
      </c>
      <c r="E719" s="1">
        <v>1889.7</v>
      </c>
      <c r="F719">
        <v>451.06</v>
      </c>
    </row>
    <row r="720" spans="1:6" x14ac:dyDescent="0.35">
      <c r="A720" s="2">
        <v>45622</v>
      </c>
      <c r="B720" s="1">
        <v>1295.7</v>
      </c>
      <c r="C720" s="1">
        <v>4352.7</v>
      </c>
      <c r="D720" s="1">
        <v>1304.95</v>
      </c>
      <c r="E720" s="1">
        <v>1924.15</v>
      </c>
      <c r="F720">
        <v>451.25</v>
      </c>
    </row>
    <row r="721" spans="1:6" x14ac:dyDescent="0.35">
      <c r="A721" s="2">
        <v>45623</v>
      </c>
      <c r="B721" s="1">
        <v>1293.2</v>
      </c>
      <c r="C721" s="1">
        <v>4332.55</v>
      </c>
      <c r="D721" s="1">
        <v>1300.7</v>
      </c>
      <c r="E721" s="1">
        <v>1924.5</v>
      </c>
      <c r="F721">
        <v>451.2</v>
      </c>
    </row>
    <row r="722" spans="1:6" x14ac:dyDescent="0.35">
      <c r="A722" s="2">
        <v>45624</v>
      </c>
      <c r="B722" s="1">
        <v>1270.8</v>
      </c>
      <c r="C722" s="1">
        <v>4244.8999999999996</v>
      </c>
      <c r="D722" s="1">
        <v>1286.3499999999999</v>
      </c>
      <c r="E722" s="1">
        <v>1856.65</v>
      </c>
      <c r="F722">
        <v>449.26</v>
      </c>
    </row>
    <row r="723" spans="1:6" x14ac:dyDescent="0.35">
      <c r="A723" s="2">
        <v>45625</v>
      </c>
      <c r="B723" s="1">
        <v>1292.2</v>
      </c>
      <c r="C723" s="1">
        <v>4270.8500000000004</v>
      </c>
      <c r="D723" s="1">
        <v>1300.0999999999999</v>
      </c>
      <c r="E723" s="1">
        <v>1857.85</v>
      </c>
      <c r="F723">
        <v>451.01</v>
      </c>
    </row>
    <row r="724" spans="1:6" x14ac:dyDescent="0.35">
      <c r="A724" s="2">
        <v>45628</v>
      </c>
      <c r="B724" s="1">
        <v>1309.1500000000001</v>
      </c>
      <c r="C724" s="1">
        <v>4276.6499999999996</v>
      </c>
      <c r="D724" s="1">
        <v>1304.6500000000001</v>
      </c>
      <c r="E724" s="1">
        <v>1879.8</v>
      </c>
      <c r="F724">
        <v>451.44</v>
      </c>
    </row>
    <row r="725" spans="1:6" x14ac:dyDescent="0.35">
      <c r="A725" s="2">
        <v>45629</v>
      </c>
      <c r="B725" s="1">
        <v>1323.3</v>
      </c>
      <c r="C725" s="1">
        <v>4302.75</v>
      </c>
      <c r="D725" s="1">
        <v>1308.4000000000001</v>
      </c>
      <c r="E725" s="1">
        <v>1892.1</v>
      </c>
      <c r="F725">
        <v>447.04</v>
      </c>
    </row>
    <row r="726" spans="1:6" x14ac:dyDescent="0.35">
      <c r="A726" s="2">
        <v>45630</v>
      </c>
      <c r="B726" s="1">
        <v>1308.95</v>
      </c>
      <c r="C726" s="1">
        <v>4354.3999999999996</v>
      </c>
      <c r="D726" s="1">
        <v>1316.05</v>
      </c>
      <c r="E726" s="1">
        <v>1889.25</v>
      </c>
      <c r="F726">
        <v>441.88</v>
      </c>
    </row>
    <row r="727" spans="1:6" x14ac:dyDescent="0.35">
      <c r="A727" s="2">
        <v>45631</v>
      </c>
      <c r="B727" s="1">
        <v>1322.05</v>
      </c>
      <c r="C727" s="1">
        <v>4464.05</v>
      </c>
      <c r="D727" s="1">
        <v>1336.5</v>
      </c>
      <c r="E727" s="1">
        <v>1934.85</v>
      </c>
      <c r="F727">
        <v>442.26</v>
      </c>
    </row>
    <row r="728" spans="1:6" x14ac:dyDescent="0.35">
      <c r="A728" s="2">
        <v>45632</v>
      </c>
      <c r="B728" s="1">
        <v>1311.55</v>
      </c>
      <c r="C728" s="1">
        <v>4445.5</v>
      </c>
      <c r="D728" s="1">
        <v>1328.75</v>
      </c>
      <c r="E728" s="1">
        <v>1922.4</v>
      </c>
      <c r="F728">
        <v>445.71</v>
      </c>
    </row>
    <row r="729" spans="1:6" x14ac:dyDescent="0.35">
      <c r="A729" s="2">
        <v>45635</v>
      </c>
      <c r="B729" s="1">
        <v>1295.1500000000001</v>
      </c>
      <c r="C729" s="1">
        <v>4452.1499999999996</v>
      </c>
      <c r="D729" s="1">
        <v>1322.3</v>
      </c>
      <c r="E729" s="1">
        <v>1923.65</v>
      </c>
      <c r="F729">
        <v>439.85</v>
      </c>
    </row>
    <row r="730" spans="1:6" x14ac:dyDescent="0.35">
      <c r="A730" s="2">
        <v>45636</v>
      </c>
      <c r="B730" s="1">
        <v>1284.8499999999999</v>
      </c>
      <c r="C730" s="1">
        <v>4432.55</v>
      </c>
      <c r="D730" s="1">
        <v>1330.45</v>
      </c>
      <c r="E730" s="1">
        <v>1948.55</v>
      </c>
      <c r="F730">
        <v>440.32</v>
      </c>
    </row>
    <row r="731" spans="1:6" x14ac:dyDescent="0.35">
      <c r="A731" s="2">
        <v>45637</v>
      </c>
      <c r="B731" s="1">
        <v>1278.2</v>
      </c>
      <c r="C731" s="1">
        <v>4427.45</v>
      </c>
      <c r="D731" s="1">
        <v>1327.5</v>
      </c>
      <c r="E731" s="1">
        <v>1974.15</v>
      </c>
      <c r="F731">
        <v>440.13</v>
      </c>
    </row>
    <row r="732" spans="1:6" x14ac:dyDescent="0.35">
      <c r="A732" s="2">
        <v>45638</v>
      </c>
      <c r="B732" s="1">
        <v>1262.9000000000001</v>
      </c>
      <c r="C732" s="1">
        <v>4454.95</v>
      </c>
      <c r="D732" s="1">
        <v>1329.25</v>
      </c>
      <c r="E732" s="1">
        <v>1987</v>
      </c>
      <c r="F732">
        <v>435.73</v>
      </c>
    </row>
    <row r="733" spans="1:6" x14ac:dyDescent="0.35">
      <c r="A733" s="2">
        <v>45639</v>
      </c>
      <c r="B733" s="1">
        <v>1272.8499999999999</v>
      </c>
      <c r="C733" s="1">
        <v>4473.8999999999996</v>
      </c>
      <c r="D733" s="1">
        <v>1344.9</v>
      </c>
      <c r="E733" s="1">
        <v>1999.7</v>
      </c>
      <c r="F733">
        <v>444.63</v>
      </c>
    </row>
    <row r="734" spans="1:6" x14ac:dyDescent="0.35">
      <c r="A734" s="2">
        <v>45642</v>
      </c>
      <c r="B734" s="1">
        <v>1268.3</v>
      </c>
      <c r="C734" s="1">
        <v>4415.2</v>
      </c>
      <c r="D734" s="1">
        <v>1346.1</v>
      </c>
      <c r="E734" s="1">
        <v>1980.05</v>
      </c>
      <c r="F734">
        <v>444.72</v>
      </c>
    </row>
    <row r="735" spans="1:6" x14ac:dyDescent="0.35">
      <c r="A735" s="2">
        <v>45643</v>
      </c>
      <c r="B735" s="1">
        <v>1245.3</v>
      </c>
      <c r="C735" s="1">
        <v>4328.5</v>
      </c>
      <c r="D735" s="1">
        <v>1333.75</v>
      </c>
      <c r="E735" s="1">
        <v>1976.6</v>
      </c>
      <c r="F735">
        <v>444.2</v>
      </c>
    </row>
    <row r="736" spans="1:6" x14ac:dyDescent="0.35">
      <c r="A736" s="2">
        <v>45644</v>
      </c>
      <c r="B736" s="1">
        <v>1253.25</v>
      </c>
      <c r="C736" s="1">
        <v>4347.8500000000004</v>
      </c>
      <c r="D736" s="1">
        <v>1314.15</v>
      </c>
      <c r="E736" s="1">
        <v>1979.15</v>
      </c>
      <c r="F736">
        <v>445.1</v>
      </c>
    </row>
    <row r="737" spans="1:6" x14ac:dyDescent="0.35">
      <c r="A737" s="2">
        <v>45645</v>
      </c>
      <c r="B737" s="1">
        <v>1230.45</v>
      </c>
      <c r="C737" s="1">
        <v>4271.8999999999996</v>
      </c>
      <c r="D737" s="1">
        <v>1286.9000000000001</v>
      </c>
      <c r="E737" s="1">
        <v>1946.2</v>
      </c>
      <c r="F737">
        <v>441.36</v>
      </c>
    </row>
    <row r="738" spans="1:6" x14ac:dyDescent="0.35">
      <c r="A738" s="2">
        <v>45646</v>
      </c>
      <c r="B738" s="1">
        <v>1205.3</v>
      </c>
      <c r="C738" s="1">
        <v>4170.3</v>
      </c>
      <c r="D738" s="1">
        <v>1288.4000000000001</v>
      </c>
      <c r="E738" s="1">
        <v>1922.15</v>
      </c>
      <c r="F738">
        <v>439.57</v>
      </c>
    </row>
    <row r="739" spans="1:6" x14ac:dyDescent="0.35">
      <c r="A739" s="2">
        <v>45649</v>
      </c>
      <c r="B739" s="1">
        <v>1222.3</v>
      </c>
      <c r="C739" s="1">
        <v>4158.3</v>
      </c>
      <c r="D739" s="1">
        <v>1296.8</v>
      </c>
      <c r="E739" s="1">
        <v>1924.3</v>
      </c>
      <c r="F739">
        <v>448.65</v>
      </c>
    </row>
    <row r="740" spans="1:6" x14ac:dyDescent="0.35">
      <c r="A740" s="2">
        <v>45650</v>
      </c>
      <c r="B740" s="1">
        <v>1222.75</v>
      </c>
      <c r="C740" s="1">
        <v>4179.5</v>
      </c>
      <c r="D740" s="1">
        <v>1297.25</v>
      </c>
      <c r="E740" s="1">
        <v>1909.05</v>
      </c>
      <c r="F740">
        <v>452.62</v>
      </c>
    </row>
    <row r="741" spans="1:6" x14ac:dyDescent="0.35">
      <c r="A741" s="2">
        <v>45652</v>
      </c>
      <c r="B741" s="1">
        <v>1216.55</v>
      </c>
      <c r="C741" s="1">
        <v>4169.1000000000004</v>
      </c>
      <c r="D741" s="1">
        <v>1297.3499999999999</v>
      </c>
      <c r="E741" s="1">
        <v>1907.4</v>
      </c>
      <c r="F741">
        <v>451.2</v>
      </c>
    </row>
    <row r="742" spans="1:6" x14ac:dyDescent="0.35">
      <c r="A742" s="2">
        <v>45653</v>
      </c>
      <c r="B742" s="1">
        <v>1221.05</v>
      </c>
      <c r="C742" s="1">
        <v>4164.8500000000004</v>
      </c>
      <c r="D742" s="1">
        <v>1307.55</v>
      </c>
      <c r="E742" s="1">
        <v>1916.75</v>
      </c>
      <c r="F742">
        <v>452.76</v>
      </c>
    </row>
    <row r="743" spans="1:6" x14ac:dyDescent="0.35">
      <c r="A743" s="2">
        <v>45656</v>
      </c>
      <c r="B743" s="1">
        <v>1210.7</v>
      </c>
      <c r="C743" s="1">
        <v>4158.8</v>
      </c>
      <c r="D743" s="1">
        <v>1294.6500000000001</v>
      </c>
      <c r="E743" s="1">
        <v>1906</v>
      </c>
      <c r="F743">
        <v>451.25</v>
      </c>
    </row>
    <row r="744" spans="1:6" x14ac:dyDescent="0.35">
      <c r="A744" s="2">
        <v>45657</v>
      </c>
      <c r="B744" s="1">
        <v>1215.45</v>
      </c>
      <c r="C744" s="1">
        <v>4094.8</v>
      </c>
      <c r="D744" s="1">
        <v>1281.6500000000001</v>
      </c>
      <c r="E744" s="1">
        <v>1880</v>
      </c>
      <c r="F744">
        <v>457.54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1B4A-AD0A-4E8E-AD5F-D8F357BB51EE}">
  <dimension ref="A1:F743"/>
  <sheetViews>
    <sheetView workbookViewId="0">
      <selection sqref="A1:A1048576"/>
    </sheetView>
  </sheetViews>
  <sheetFormatPr defaultRowHeight="14.5" x14ac:dyDescent="0.35"/>
  <cols>
    <col min="1" max="1" width="11.1796875" style="2" customWidth="1"/>
    <col min="2" max="2" width="14.90625" style="60" customWidth="1"/>
    <col min="3" max="6" width="9.453125" style="60" bestFit="1" customWidth="1"/>
  </cols>
  <sheetData>
    <row r="1" spans="1:6" ht="17.5" thickBot="1" x14ac:dyDescent="0.55000000000000004">
      <c r="A1" s="4" t="s">
        <v>0</v>
      </c>
      <c r="B1" s="59" t="s">
        <v>1</v>
      </c>
      <c r="C1" s="61" t="s">
        <v>2</v>
      </c>
      <c r="D1" s="61" t="s">
        <v>3</v>
      </c>
      <c r="E1" s="62" t="s">
        <v>4</v>
      </c>
      <c r="F1" s="62" t="s">
        <v>5</v>
      </c>
    </row>
    <row r="2" spans="1:6" x14ac:dyDescent="0.35">
      <c r="A2" s="2">
        <v>44565</v>
      </c>
      <c r="B2" s="60">
        <f>LN('Price Data'!B3/'Price Data'!B2)</f>
        <v>2.2311956935945947E-2</v>
      </c>
      <c r="C2" s="60">
        <f>LN('Price Data'!C3/'Price Data'!C2)</f>
        <v>1.7397387833552571E-2</v>
      </c>
      <c r="D2" s="60">
        <f>LN('Price Data'!D3/'Price Data'!D2)</f>
        <v>1.0601380548148014E-2</v>
      </c>
      <c r="E2" s="60">
        <f>LN('Price Data'!E3/'Price Data'!E2)</f>
        <v>3.6865389084043347E-4</v>
      </c>
      <c r="F2" s="60">
        <f>LN('Price Data'!F3/'Price Data'!F2)</f>
        <v>5.2350182148679699E-3</v>
      </c>
    </row>
    <row r="3" spans="1:6" x14ac:dyDescent="0.35">
      <c r="A3" s="2">
        <v>44566</v>
      </c>
      <c r="B3" s="60">
        <f>LN('Price Data'!B4/'Price Data'!B3)</f>
        <v>4.6673487147820061E-3</v>
      </c>
      <c r="C3" s="60">
        <f>LN('Price Data'!C4/'Price Data'!C3)</f>
        <v>-6.1453644994094031E-3</v>
      </c>
      <c r="D3" s="60">
        <f>LN('Price Data'!D4/'Price Data'!D3)</f>
        <v>1.9476559023222421E-2</v>
      </c>
      <c r="E3" s="60">
        <f>LN('Price Data'!E4/'Price Data'!E3)</f>
        <v>-2.9116860052444075E-2</v>
      </c>
      <c r="F3" s="60">
        <f>LN('Price Data'!F4/'Price Data'!F3)</f>
        <v>1.3611617346598358E-3</v>
      </c>
    </row>
    <row r="4" spans="1:6" x14ac:dyDescent="0.35">
      <c r="A4" s="2">
        <v>44567</v>
      </c>
      <c r="B4" s="60">
        <f>LN('Price Data'!B5/'Price Data'!B4)</f>
        <v>-2.1732732672482113E-2</v>
      </c>
      <c r="C4" s="60">
        <f>LN('Price Data'!C5/'Price Data'!C4)</f>
        <v>-1.3953593460704957E-2</v>
      </c>
      <c r="D4" s="60">
        <f>LN('Price Data'!D5/'Price Data'!D4)</f>
        <v>-3.8141296000193947E-3</v>
      </c>
      <c r="E4" s="60">
        <f>LN('Price Data'!E5/'Price Data'!E4)</f>
        <v>-1.4662578897257828E-2</v>
      </c>
      <c r="F4" s="60">
        <f>LN('Price Data'!F5/'Price Data'!F4)</f>
        <v>-8.4234988682267056E-3</v>
      </c>
    </row>
    <row r="5" spans="1:6" x14ac:dyDescent="0.35">
      <c r="A5" s="2">
        <v>44568</v>
      </c>
      <c r="B5" s="60">
        <f>LN('Price Data'!B6/'Price Data'!B5)</f>
        <v>8.0356724022185837E-3</v>
      </c>
      <c r="C5" s="60">
        <f>LN('Price Data'!C6/'Price Data'!C5)</f>
        <v>1.2022152511318834E-2</v>
      </c>
      <c r="D5" s="60">
        <f>LN('Price Data'!D6/'Price Data'!D5)</f>
        <v>1.0391020441774442E-2</v>
      </c>
      <c r="E5" s="60">
        <f>LN('Price Data'!E6/'Price Data'!E5)</f>
        <v>-1.9272603085525013E-3</v>
      </c>
      <c r="F5" s="60">
        <f>LN('Price Data'!F6/'Price Data'!F5)</f>
        <v>-1.3726838119721356E-3</v>
      </c>
    </row>
    <row r="6" spans="1:6" x14ac:dyDescent="0.35">
      <c r="A6" s="2">
        <v>44571</v>
      </c>
      <c r="B6" s="60">
        <f>LN('Price Data'!B7/'Price Data'!B6)</f>
        <v>8.2261750667037513E-4</v>
      </c>
      <c r="C6" s="60">
        <f>LN('Price Data'!C7/'Price Data'!C6)</f>
        <v>6.8146668581475943E-3</v>
      </c>
      <c r="D6" s="60">
        <f>LN('Price Data'!D7/'Price Data'!D6)</f>
        <v>2.1821314724122368E-2</v>
      </c>
      <c r="E6" s="60">
        <f>LN('Price Data'!E7/'Price Data'!E6)</f>
        <v>1.9891243947090378E-2</v>
      </c>
      <c r="F6" s="60">
        <f>LN('Price Data'!F7/'Price Data'!F6)</f>
        <v>2.2187914975362138E-2</v>
      </c>
    </row>
    <row r="7" spans="1:6" x14ac:dyDescent="0.35">
      <c r="A7" s="2">
        <v>44572</v>
      </c>
      <c r="B7" s="60">
        <f>LN('Price Data'!B8/'Price Data'!B7)</f>
        <v>7.1759119089713349E-3</v>
      </c>
      <c r="C7" s="60">
        <f>LN('Price Data'!C8/'Price Data'!C7)</f>
        <v>9.2486949866583297E-3</v>
      </c>
      <c r="D7" s="60">
        <f>LN('Price Data'!D8/'Price Data'!D7)</f>
        <v>-1.2335019134919223E-4</v>
      </c>
      <c r="E7" s="60">
        <f>LN('Price Data'!E8/'Price Data'!E7)</f>
        <v>2.6171315543809105E-3</v>
      </c>
      <c r="F7" s="60">
        <f>LN('Price Data'!F8/'Price Data'!F7)</f>
        <v>-6.0640275660680627E-3</v>
      </c>
    </row>
    <row r="8" spans="1:6" x14ac:dyDescent="0.35">
      <c r="A8" s="2">
        <v>44573</v>
      </c>
      <c r="B8" s="60">
        <f>LN('Price Data'!B9/'Price Data'!B8)</f>
        <v>2.6340027904367173E-2</v>
      </c>
      <c r="C8" s="60">
        <f>LN('Price Data'!C9/'Price Data'!C8)</f>
        <v>-1.4403911675313857E-2</v>
      </c>
      <c r="D8" s="60">
        <f>LN('Price Data'!D9/'Price Data'!D8)</f>
        <v>1.6030690820638883E-2</v>
      </c>
      <c r="E8" s="60">
        <f>LN('Price Data'!E9/'Price Data'!E8)</f>
        <v>1.1706379247630305E-2</v>
      </c>
      <c r="F8" s="60">
        <f>LN('Price Data'!F9/'Price Data'!F8)</f>
        <v>3.5979350708744734E-3</v>
      </c>
    </row>
    <row r="9" spans="1:6" x14ac:dyDescent="0.35">
      <c r="A9" s="2">
        <v>44574</v>
      </c>
      <c r="B9" s="60">
        <f>LN('Price Data'!B10/'Price Data'!B9)</f>
        <v>5.620317593747765E-3</v>
      </c>
      <c r="C9" s="60">
        <f>LN('Price Data'!C10/'Price Data'!C9)</f>
        <v>9.7966701692603787E-3</v>
      </c>
      <c r="D9" s="60">
        <f>LN('Price Data'!D10/'Price Data'!D9)</f>
        <v>1.1525980225926906E-3</v>
      </c>
      <c r="E9" s="60">
        <f>LN('Price Data'!E10/'Price Data'!E9)</f>
        <v>1.0253782625976838E-2</v>
      </c>
      <c r="F9" s="60">
        <f>LN('Price Data'!F10/'Price Data'!F9)</f>
        <v>5.3727463023902798E-3</v>
      </c>
    </row>
    <row r="10" spans="1:6" x14ac:dyDescent="0.35">
      <c r="A10" s="2">
        <v>44575</v>
      </c>
      <c r="B10" s="60">
        <f>LN('Price Data'!B11/'Price Data'!B10)</f>
        <v>1.4587261310800655E-3</v>
      </c>
      <c r="C10" s="60">
        <f>LN('Price Data'!C11/'Price Data'!C10)</f>
        <v>1.7862044552824505E-2</v>
      </c>
      <c r="D10" s="60">
        <f>LN('Price Data'!D11/'Price Data'!D10)</f>
        <v>-5.715343581010968E-3</v>
      </c>
      <c r="E10" s="60">
        <f>LN('Price Data'!E11/'Price Data'!E10)</f>
        <v>1.7014902857300129E-2</v>
      </c>
      <c r="F10" s="60">
        <f>LN('Price Data'!F11/'Price Data'!F10)</f>
        <v>-6.0463738118645615E-3</v>
      </c>
    </row>
    <row r="11" spans="1:6" x14ac:dyDescent="0.35">
      <c r="A11" s="2">
        <v>44578</v>
      </c>
      <c r="B11" s="60">
        <f>LN('Price Data'!B12/'Price Data'!B11)</f>
        <v>5.201065781719463E-3</v>
      </c>
      <c r="C11" s="60">
        <f>LN('Price Data'!C12/'Price Data'!C11)</f>
        <v>1.2770446360194802E-2</v>
      </c>
      <c r="D11" s="60">
        <f>LN('Price Data'!D12/'Price Data'!D11)</f>
        <v>-8.5402311052978225E-4</v>
      </c>
      <c r="E11" s="60">
        <f>LN('Price Data'!E12/'Price Data'!E11)</f>
        <v>5.2470492715260544E-3</v>
      </c>
      <c r="F11" s="60">
        <f>LN('Price Data'!F12/'Price Data'!F11)</f>
        <v>8.9446034628982846E-3</v>
      </c>
    </row>
    <row r="12" spans="1:6" x14ac:dyDescent="0.35">
      <c r="A12" s="2">
        <v>44579</v>
      </c>
      <c r="B12" s="60">
        <f>LN('Price Data'!B13/'Price Data'!B12)</f>
        <v>-1.2000526084022752E-2</v>
      </c>
      <c r="C12" s="60">
        <f>LN('Price Data'!C13/'Price Data'!C12)</f>
        <v>-7.1288419513891796E-3</v>
      </c>
      <c r="D12" s="60">
        <f>LN('Price Data'!D13/'Price Data'!D12)</f>
        <v>4.6273828308292771E-3</v>
      </c>
      <c r="E12" s="60">
        <f>LN('Price Data'!E13/'Price Data'!E12)</f>
        <v>-9.71447313227752E-3</v>
      </c>
      <c r="F12" s="60">
        <f>LN('Price Data'!F13/'Price Data'!F12)</f>
        <v>-1.7290202820273413E-2</v>
      </c>
    </row>
    <row r="13" spans="1:6" x14ac:dyDescent="0.35">
      <c r="A13" s="2">
        <v>44580</v>
      </c>
      <c r="B13" s="60">
        <f>LN('Price Data'!B14/'Price Data'!B13)</f>
        <v>-7.8624937249664148E-5</v>
      </c>
      <c r="C13" s="60">
        <f>LN('Price Data'!C14/'Price Data'!C13)</f>
        <v>-1.9215669834494499E-2</v>
      </c>
      <c r="D13" s="60">
        <f>LN('Price Data'!D14/'Price Data'!D13)</f>
        <v>-1.7773342771927835E-2</v>
      </c>
      <c r="E13" s="60">
        <f>LN('Price Data'!E14/'Price Data'!E13)</f>
        <v>-2.8356089632648056E-2</v>
      </c>
      <c r="F13" s="60">
        <f>LN('Price Data'!F14/'Price Data'!F13)</f>
        <v>-1.813648196073469E-3</v>
      </c>
    </row>
    <row r="14" spans="1:6" x14ac:dyDescent="0.35">
      <c r="A14" s="2">
        <v>44581</v>
      </c>
      <c r="B14" s="60">
        <f>LN('Price Data'!B15/'Price Data'!B14)</f>
        <v>-1.7662915893169977E-2</v>
      </c>
      <c r="C14" s="60">
        <f>LN('Price Data'!C15/'Price Data'!C14)</f>
        <v>-2.2762311748128868E-2</v>
      </c>
      <c r="D14" s="60">
        <f>LN('Price Data'!D15/'Price Data'!D14)</f>
        <v>2.0384848149861551E-3</v>
      </c>
      <c r="E14" s="60">
        <f>LN('Price Data'!E15/'Price Data'!E14)</f>
        <v>-2.3492240692309752E-2</v>
      </c>
      <c r="F14" s="60">
        <f>LN('Price Data'!F15/'Price Data'!F14)</f>
        <v>-7.2876660502721406E-3</v>
      </c>
    </row>
    <row r="15" spans="1:6" x14ac:dyDescent="0.35">
      <c r="A15" s="2">
        <v>44582</v>
      </c>
      <c r="B15" s="60">
        <f>LN('Price Data'!B16/'Price Data'!B15)</f>
        <v>1.6004552440176595E-4</v>
      </c>
      <c r="C15" s="60">
        <f>LN('Price Data'!C16/'Price Data'!C15)</f>
        <v>1.8146100631419811E-3</v>
      </c>
      <c r="D15" s="60">
        <f>LN('Price Data'!D16/'Price Data'!D15)</f>
        <v>-7.1218755892188705E-3</v>
      </c>
      <c r="E15" s="60">
        <f>LN('Price Data'!E16/'Price Data'!E15)</f>
        <v>-2.105690921970747E-2</v>
      </c>
      <c r="F15" s="60">
        <f>LN('Price Data'!F16/'Price Data'!F15)</f>
        <v>-7.8017834921212193E-3</v>
      </c>
    </row>
    <row r="16" spans="1:6" x14ac:dyDescent="0.35">
      <c r="A16" s="2">
        <v>44585</v>
      </c>
      <c r="B16" s="60">
        <f>LN('Price Data'!B17/'Price Data'!B16)</f>
        <v>-4.1173239107919292E-2</v>
      </c>
      <c r="C16" s="60">
        <f>LN('Price Data'!C17/'Price Data'!C16)</f>
        <v>-1.6345196470205148E-2</v>
      </c>
      <c r="D16" s="60">
        <f>LN('Price Data'!D17/'Price Data'!D16)</f>
        <v>-7.5486181455617111E-3</v>
      </c>
      <c r="E16" s="60">
        <f>LN('Price Data'!E17/'Price Data'!E16)</f>
        <v>-2.7766155638996998E-2</v>
      </c>
      <c r="F16" s="60">
        <f>LN('Price Data'!F17/'Price Data'!F16)</f>
        <v>-2.4485308578296439E-2</v>
      </c>
    </row>
    <row r="17" spans="1:6" x14ac:dyDescent="0.35">
      <c r="A17" s="2">
        <v>44586</v>
      </c>
      <c r="B17" s="60">
        <f>LN('Price Data'!B18/'Price Data'!B17)</f>
        <v>-1.9567027929008429E-3</v>
      </c>
      <c r="C17" s="60">
        <f>LN('Price Data'!C18/'Price Data'!C17)</f>
        <v>-3.8455163742576951E-4</v>
      </c>
      <c r="D17" s="60">
        <f>LN('Price Data'!D18/'Price Data'!D17)</f>
        <v>3.9997553479700979E-3</v>
      </c>
      <c r="E17" s="60">
        <f>LN('Price Data'!E18/'Price Data'!E17)</f>
        <v>-8.4708293561513368E-3</v>
      </c>
      <c r="F17" s="60">
        <f>LN('Price Data'!F18/'Price Data'!F17)</f>
        <v>1.1734469312225328E-2</v>
      </c>
    </row>
    <row r="18" spans="1:6" x14ac:dyDescent="0.35">
      <c r="A18" s="2">
        <v>44588</v>
      </c>
      <c r="B18" s="60">
        <f>LN('Price Data'!B19/'Price Data'!B18)</f>
        <v>-1.4925789803927439E-2</v>
      </c>
      <c r="C18" s="60">
        <f>LN('Price Data'!C19/'Price Data'!C18)</f>
        <v>-3.2526808880630698E-2</v>
      </c>
      <c r="D18" s="60">
        <f>LN('Price Data'!D19/'Price Data'!D18)</f>
        <v>-8.7703374920177768E-3</v>
      </c>
      <c r="E18" s="60">
        <f>LN('Price Data'!E19/'Price Data'!E18)</f>
        <v>-2.561339755920362E-2</v>
      </c>
      <c r="F18" s="60">
        <f>LN('Price Data'!F19/'Price Data'!F18)</f>
        <v>1.3989277170667624E-3</v>
      </c>
    </row>
    <row r="19" spans="1:6" x14ac:dyDescent="0.35">
      <c r="A19" s="2">
        <v>44589</v>
      </c>
      <c r="B19" s="60">
        <f>LN('Price Data'!B20/'Price Data'!B19)</f>
        <v>-9.6152040740592551E-4</v>
      </c>
      <c r="C19" s="60">
        <f>LN('Price Data'!C20/'Price Data'!C19)</f>
        <v>1.1118341067584589E-2</v>
      </c>
      <c r="D19" s="60">
        <f>LN('Price Data'!D20/'Price Data'!D19)</f>
        <v>-1.7134573284916486E-2</v>
      </c>
      <c r="E19" s="60">
        <f>LN('Price Data'!E20/'Price Data'!E19)</f>
        <v>4.5173638398481215E-3</v>
      </c>
      <c r="F19" s="60">
        <f>LN('Price Data'!F20/'Price Data'!F19)</f>
        <v>1.3882684785189529E-2</v>
      </c>
    </row>
    <row r="20" spans="1:6" x14ac:dyDescent="0.35">
      <c r="A20" s="2">
        <v>44592</v>
      </c>
      <c r="B20" s="60">
        <f>LN('Price Data'!B21/'Price Data'!B20)</f>
        <v>2.1496773972407558E-2</v>
      </c>
      <c r="C20" s="60">
        <f>LN('Price Data'!C21/'Price Data'!C20)</f>
        <v>1.2442426519875626E-2</v>
      </c>
      <c r="D20" s="60">
        <f>LN('Price Data'!D21/'Price Data'!D20)</f>
        <v>9.7456104305135207E-3</v>
      </c>
      <c r="E20" s="60">
        <f>LN('Price Data'!E21/'Price Data'!E20)</f>
        <v>2.9221340469132287E-2</v>
      </c>
      <c r="F20" s="60">
        <f>LN('Price Data'!F21/'Price Data'!F20)</f>
        <v>1.187770930679204E-2</v>
      </c>
    </row>
    <row r="21" spans="1:6" x14ac:dyDescent="0.35">
      <c r="A21" s="2">
        <v>44593</v>
      </c>
      <c r="B21" s="60">
        <f>LN('Price Data'!B22/'Price Data'!B21)</f>
        <v>-3.3192979516894457E-3</v>
      </c>
      <c r="C21" s="60">
        <f>LN('Price Data'!C22/'Price Data'!C21)</f>
        <v>1.7089670120075236E-2</v>
      </c>
      <c r="D21" s="60">
        <f>LN('Price Data'!D22/'Price Data'!D21)</f>
        <v>2.6891746178253989E-2</v>
      </c>
      <c r="E21" s="60">
        <f>LN('Price Data'!E22/'Price Data'!E21)</f>
        <v>2.0438251513523784E-2</v>
      </c>
      <c r="F21" s="60">
        <f>LN('Price Data'!F22/'Price Data'!F21)</f>
        <v>3.3712311851488201E-2</v>
      </c>
    </row>
    <row r="22" spans="1:6" x14ac:dyDescent="0.35">
      <c r="A22" s="2">
        <v>44594</v>
      </c>
      <c r="B22" s="60">
        <f>LN('Price Data'!B23/'Price Data'!B22)</f>
        <v>2.0354169453359115E-3</v>
      </c>
      <c r="C22" s="60">
        <f>LN('Price Data'!C23/'Price Data'!C22)</f>
        <v>1.4510137887072736E-2</v>
      </c>
      <c r="D22" s="60">
        <f>LN('Price Data'!D23/'Price Data'!D22)</f>
        <v>4.24864405609941E-3</v>
      </c>
      <c r="E22" s="60">
        <f>LN('Price Data'!E23/'Price Data'!E22)</f>
        <v>8.4571258315198992E-3</v>
      </c>
      <c r="F22" s="60">
        <f>LN('Price Data'!F23/'Price Data'!F22)</f>
        <v>1.913517832586293E-2</v>
      </c>
    </row>
    <row r="23" spans="1:6" x14ac:dyDescent="0.35">
      <c r="A23" s="2">
        <v>44595</v>
      </c>
      <c r="B23" s="60">
        <f>LN('Price Data'!B24/'Price Data'!B23)</f>
        <v>-1.3005197393327332E-2</v>
      </c>
      <c r="C23" s="60">
        <f>LN('Price Data'!C24/'Price Data'!C23)</f>
        <v>-8.2283559764215839E-3</v>
      </c>
      <c r="D23" s="60">
        <f>LN('Price Data'!D24/'Price Data'!D23)</f>
        <v>-5.9160830714332022E-3</v>
      </c>
      <c r="E23" s="60">
        <f>LN('Price Data'!E24/'Price Data'!E23)</f>
        <v>-2.7542761842754161E-2</v>
      </c>
      <c r="F23" s="60">
        <f>LN('Price Data'!F24/'Price Data'!F23)</f>
        <v>9.8586310696645984E-3</v>
      </c>
    </row>
    <row r="24" spans="1:6" x14ac:dyDescent="0.35">
      <c r="A24" s="2">
        <v>44596</v>
      </c>
      <c r="B24" s="60">
        <f>LN('Price Data'!B25/'Price Data'!B24)</f>
        <v>-9.1524133520019518E-3</v>
      </c>
      <c r="C24" s="60">
        <f>LN('Price Data'!C25/'Price Data'!C24)</f>
        <v>-2.5394345736555785E-3</v>
      </c>
      <c r="D24" s="60">
        <f>LN('Price Data'!D25/'Price Data'!D24)</f>
        <v>-4.8327231603982361E-3</v>
      </c>
      <c r="E24" s="60">
        <f>LN('Price Data'!E25/'Price Data'!E24)</f>
        <v>1.4656649125554607E-3</v>
      </c>
      <c r="F24" s="60">
        <f>LN('Price Data'!F25/'Price Data'!F24)</f>
        <v>-6.4000002184524138E-4</v>
      </c>
    </row>
    <row r="25" spans="1:6" x14ac:dyDescent="0.35">
      <c r="A25" s="2">
        <v>44599</v>
      </c>
      <c r="B25" s="60">
        <f>LN('Price Data'!B26/'Price Data'!B25)</f>
        <v>-6.113618245789273E-3</v>
      </c>
      <c r="C25" s="60">
        <f>LN('Price Data'!C26/'Price Data'!C25)</f>
        <v>-9.4550277057292801E-3</v>
      </c>
      <c r="D25" s="60">
        <f>LN('Price Data'!D26/'Price Data'!D25)</f>
        <v>-2.3438818457990739E-2</v>
      </c>
      <c r="E25" s="60">
        <f>LN('Price Data'!E26/'Price Data'!E25)</f>
        <v>-1.5104016772512443E-2</v>
      </c>
      <c r="F25" s="60">
        <f>LN('Price Data'!F26/'Price Data'!F25)</f>
        <v>-1.7653849225967837E-2</v>
      </c>
    </row>
    <row r="26" spans="1:6" x14ac:dyDescent="0.35">
      <c r="A26" s="2">
        <v>44600</v>
      </c>
      <c r="B26" s="60">
        <f>LN('Price Data'!B27/'Price Data'!B26)</f>
        <v>1.666956686510758E-2</v>
      </c>
      <c r="C26" s="60">
        <f>LN('Price Data'!C27/'Price Data'!C26)</f>
        <v>-9.4517782525210623E-3</v>
      </c>
      <c r="D26" s="60">
        <f>LN('Price Data'!D27/'Price Data'!D26)</f>
        <v>7.7269369184788947E-3</v>
      </c>
      <c r="E26" s="60">
        <f>LN('Price Data'!E27/'Price Data'!E26)</f>
        <v>1.340209389776002E-3</v>
      </c>
      <c r="F26" s="60">
        <f>LN('Price Data'!F27/'Price Data'!F26)</f>
        <v>4.5508801047523832E-3</v>
      </c>
    </row>
    <row r="27" spans="1:6" x14ac:dyDescent="0.35">
      <c r="A27" s="2">
        <v>44601</v>
      </c>
      <c r="B27" s="60">
        <f>LN('Price Data'!B28/'Price Data'!B27)</f>
        <v>1.1583176983443936E-2</v>
      </c>
      <c r="C27" s="60">
        <f>LN('Price Data'!C28/'Price Data'!C27)</f>
        <v>4.5575771853390065E-3</v>
      </c>
      <c r="D27" s="60">
        <f>LN('Price Data'!D28/'Price Data'!D27)</f>
        <v>1.2913111170747432E-2</v>
      </c>
      <c r="E27" s="60">
        <f>LN('Price Data'!E28/'Price Data'!E27)</f>
        <v>1.1578893910037361E-2</v>
      </c>
      <c r="F27" s="60">
        <f>LN('Price Data'!F28/'Price Data'!F27)</f>
        <v>-4.7681061292840603E-3</v>
      </c>
    </row>
    <row r="28" spans="1:6" x14ac:dyDescent="0.35">
      <c r="A28" s="2">
        <v>44602</v>
      </c>
      <c r="B28" s="60">
        <f>LN('Price Data'!B29/'Price Data'!B28)</f>
        <v>-1.0264615261542027E-3</v>
      </c>
      <c r="C28" s="60">
        <f>LN('Price Data'!C29/'Price Data'!C28)</f>
        <v>2.6026120468374448E-3</v>
      </c>
      <c r="D28" s="60">
        <f>LN('Price Data'!D29/'Price Data'!D28)</f>
        <v>3.3575856948459474E-3</v>
      </c>
      <c r="E28" s="60">
        <f>LN('Price Data'!E29/'Price Data'!E28)</f>
        <v>1.8421348428161916E-2</v>
      </c>
      <c r="F28" s="60">
        <f>LN('Price Data'!F29/'Price Data'!F28)</f>
        <v>9.0831074306974464E-3</v>
      </c>
    </row>
    <row r="29" spans="1:6" x14ac:dyDescent="0.35">
      <c r="A29" s="2">
        <v>44603</v>
      </c>
      <c r="B29" s="60">
        <f>LN('Price Data'!B30/'Price Data'!B29)</f>
        <v>-1.9541114319450996E-3</v>
      </c>
      <c r="C29" s="60">
        <f>LN('Price Data'!C30/'Price Data'!C29)</f>
        <v>-2.0200812838127101E-2</v>
      </c>
      <c r="D29" s="60">
        <f>LN('Price Data'!D30/'Price Data'!D29)</f>
        <v>-1.8418111320567261E-2</v>
      </c>
      <c r="E29" s="60">
        <f>LN('Price Data'!E30/'Price Data'!E29)</f>
        <v>-2.7644665659735345E-2</v>
      </c>
      <c r="F29" s="60">
        <f>LN('Price Data'!F30/'Price Data'!F29)</f>
        <v>8.607704426458069E-4</v>
      </c>
    </row>
    <row r="30" spans="1:6" x14ac:dyDescent="0.35">
      <c r="A30" s="2">
        <v>44606</v>
      </c>
      <c r="B30" s="60">
        <f>LN('Price Data'!B31/'Price Data'!B30)</f>
        <v>-1.6054469087624472E-2</v>
      </c>
      <c r="C30" s="60">
        <f>LN('Price Data'!C31/'Price Data'!C30)</f>
        <v>1.0446068039302488E-2</v>
      </c>
      <c r="D30" s="60">
        <f>LN('Price Data'!D31/'Price Data'!D30)</f>
        <v>-4.8050680447037489E-2</v>
      </c>
      <c r="E30" s="60">
        <f>LN('Price Data'!E31/'Price Data'!E30)</f>
        <v>-2.3006406139943338E-2</v>
      </c>
      <c r="F30" s="60">
        <f>LN('Price Data'!F31/'Price Data'!F30)</f>
        <v>-5.7550732002350703E-2</v>
      </c>
    </row>
    <row r="31" spans="1:6" x14ac:dyDescent="0.35">
      <c r="A31" s="2">
        <v>44607</v>
      </c>
      <c r="B31" s="60">
        <f>LN('Price Data'!B32/'Price Data'!B31)</f>
        <v>3.3387072273190391E-2</v>
      </c>
      <c r="C31" s="60">
        <f>LN('Price Data'!C32/'Price Data'!C31)</f>
        <v>2.2261249936481896E-2</v>
      </c>
      <c r="D31" s="60">
        <f>LN('Price Data'!D32/'Price Data'!D31)</f>
        <v>2.9222540247769224E-2</v>
      </c>
      <c r="E31" s="60">
        <f>LN('Price Data'!E32/'Price Data'!E31)</f>
        <v>3.277639945079034E-2</v>
      </c>
      <c r="F31" s="60">
        <f>LN('Price Data'!F32/'Price Data'!F31)</f>
        <v>1.6047355325875735E-2</v>
      </c>
    </row>
    <row r="32" spans="1:6" x14ac:dyDescent="0.35">
      <c r="A32" s="2">
        <v>44608</v>
      </c>
      <c r="B32" s="60">
        <f>LN('Price Data'!B33/'Price Data'!B32)</f>
        <v>-2.0703280244946539E-3</v>
      </c>
      <c r="C32" s="60">
        <f>LN('Price Data'!C33/'Price Data'!C32)</f>
        <v>-1.2318338844228315E-3</v>
      </c>
      <c r="D32" s="60">
        <f>LN('Price Data'!D33/'Price Data'!D32)</f>
        <v>-1.5583719045927301E-2</v>
      </c>
      <c r="E32" s="60">
        <f>LN('Price Data'!E33/'Price Data'!E32)</f>
        <v>-2.851754031862593E-3</v>
      </c>
      <c r="F32" s="60">
        <f>LN('Price Data'!F33/'Price Data'!F32)</f>
        <v>-1.1217051092000155E-3</v>
      </c>
    </row>
    <row r="33" spans="1:6" x14ac:dyDescent="0.35">
      <c r="A33" s="2">
        <v>44609</v>
      </c>
      <c r="B33" s="60">
        <f>LN('Price Data'!B34/'Price Data'!B33)</f>
        <v>1.2583575358952347E-2</v>
      </c>
      <c r="C33" s="60">
        <f>LN('Price Data'!C34/'Price Data'!C33)</f>
        <v>-7.6080026847182344E-3</v>
      </c>
      <c r="D33" s="60">
        <f>LN('Price Data'!D34/'Price Data'!D33)</f>
        <v>-1.8093467709267515E-2</v>
      </c>
      <c r="E33" s="60">
        <f>LN('Price Data'!E34/'Price Data'!E33)</f>
        <v>-4.9160042325866035E-3</v>
      </c>
      <c r="F33" s="60">
        <f>LN('Price Data'!F34/'Price Data'!F33)</f>
        <v>-4.4903458320725995E-4</v>
      </c>
    </row>
    <row r="34" spans="1:6" x14ac:dyDescent="0.35">
      <c r="A34" s="2">
        <v>44610</v>
      </c>
      <c r="B34" s="60">
        <f>LN('Price Data'!B35/'Price Data'!B34)</f>
        <v>-7.847294861750613E-3</v>
      </c>
      <c r="C34" s="60">
        <f>LN('Price Data'!C35/'Price Data'!C34)</f>
        <v>2.560009843505376E-3</v>
      </c>
      <c r="D34" s="60">
        <f>LN('Price Data'!D35/'Price Data'!D34)</f>
        <v>-1.9343010866772073E-3</v>
      </c>
      <c r="E34" s="60">
        <f>LN('Price Data'!E35/'Price Data'!E34)</f>
        <v>-1.0402949503303003E-2</v>
      </c>
      <c r="F34" s="60">
        <f>LN('Price Data'!F35/'Price Data'!F34)</f>
        <v>-3.374201829163159E-3</v>
      </c>
    </row>
    <row r="35" spans="1:6" x14ac:dyDescent="0.35">
      <c r="A35" s="2">
        <v>44613</v>
      </c>
      <c r="B35" s="60">
        <f>LN('Price Data'!B36/'Price Data'!B35)</f>
        <v>-1.0155802161313119E-2</v>
      </c>
      <c r="C35" s="60">
        <f>LN('Price Data'!C36/'Price Data'!C35)</f>
        <v>-1.9832148805237051E-2</v>
      </c>
      <c r="D35" s="60">
        <f>LN('Price Data'!D36/'Price Data'!D35)</f>
        <v>7.3835437043390127E-3</v>
      </c>
      <c r="E35" s="60">
        <f>LN('Price Data'!E36/'Price Data'!E35)</f>
        <v>1.3817798719578524E-2</v>
      </c>
      <c r="F35" s="60">
        <f>LN('Price Data'!F36/'Price Data'!F35)</f>
        <v>-1.7731767149459211E-2</v>
      </c>
    </row>
    <row r="36" spans="1:6" x14ac:dyDescent="0.35">
      <c r="A36" s="2">
        <v>44614</v>
      </c>
      <c r="B36" s="60">
        <f>LN('Price Data'!B37/'Price Data'!B36)</f>
        <v>-4.554181840790845E-3</v>
      </c>
      <c r="C36" s="60">
        <f>LN('Price Data'!C37/'Price Data'!C36)</f>
        <v>-3.6413451094699005E-2</v>
      </c>
      <c r="D36" s="60">
        <f>LN('Price Data'!D37/'Price Data'!D36)</f>
        <v>-4.183967584545558E-3</v>
      </c>
      <c r="E36" s="60">
        <f>LN('Price Data'!E37/'Price Data'!E36)</f>
        <v>2.1067524855427951E-3</v>
      </c>
      <c r="F36" s="60">
        <f>LN('Price Data'!F37/'Price Data'!F36)</f>
        <v>-1.4554952568084903E-2</v>
      </c>
    </row>
    <row r="37" spans="1:6" x14ac:dyDescent="0.35">
      <c r="A37" s="2">
        <v>44615</v>
      </c>
      <c r="B37" s="60">
        <f>LN('Price Data'!B38/'Price Data'!B37)</f>
        <v>-6.2809802760420671E-3</v>
      </c>
      <c r="C37" s="60">
        <f>LN('Price Data'!C38/'Price Data'!C37)</f>
        <v>-6.321522547915401E-3</v>
      </c>
      <c r="D37" s="60">
        <f>LN('Price Data'!D38/'Price Data'!D37)</f>
        <v>-8.9578779364983142E-3</v>
      </c>
      <c r="E37" s="60">
        <f>LN('Price Data'!E38/'Price Data'!E37)</f>
        <v>4.8890008804842464E-3</v>
      </c>
      <c r="F37" s="60">
        <f>LN('Price Data'!F38/'Price Data'!F37)</f>
        <v>5.1067891857060786E-3</v>
      </c>
    </row>
    <row r="38" spans="1:6" x14ac:dyDescent="0.35">
      <c r="A38" s="2">
        <v>44616</v>
      </c>
      <c r="B38" s="60">
        <f>LN('Price Data'!B39/'Price Data'!B38)</f>
        <v>-5.1115047143501374E-2</v>
      </c>
      <c r="C38" s="60">
        <f>LN('Price Data'!C39/'Price Data'!C38)</f>
        <v>-4.656678328852145E-2</v>
      </c>
      <c r="D38" s="60">
        <f>LN('Price Data'!D39/'Price Data'!D38)</f>
        <v>-5.1250884667236374E-2</v>
      </c>
      <c r="E38" s="60">
        <f>LN('Price Data'!E39/'Price Data'!E38)</f>
        <v>-3.7829708131575372E-2</v>
      </c>
      <c r="F38" s="60">
        <f>LN('Price Data'!F39/'Price Data'!F38)</f>
        <v>-3.5107858167853896E-2</v>
      </c>
    </row>
    <row r="39" spans="1:6" x14ac:dyDescent="0.35">
      <c r="A39" s="2">
        <v>44617</v>
      </c>
      <c r="B39" s="60">
        <f>LN('Price Data'!B40/'Price Data'!B39)</f>
        <v>1.2423122844169314E-2</v>
      </c>
      <c r="C39" s="60">
        <f>LN('Price Data'!C40/'Price Data'!C39)</f>
        <v>3.4413427073366698E-2</v>
      </c>
      <c r="D39" s="60">
        <f>LN('Price Data'!D40/'Price Data'!D39)</f>
        <v>3.1516748176192752E-2</v>
      </c>
      <c r="E39" s="60">
        <f>LN('Price Data'!E40/'Price Data'!E39)</f>
        <v>9.754728598958623E-3</v>
      </c>
      <c r="F39" s="60">
        <f>LN('Price Data'!F40/'Price Data'!F39)</f>
        <v>2.5803301623969634E-2</v>
      </c>
    </row>
    <row r="40" spans="1:6" x14ac:dyDescent="0.35">
      <c r="A40" s="2">
        <v>44620</v>
      </c>
      <c r="B40" s="60">
        <f>LN('Price Data'!B41/'Price Data'!B40)</f>
        <v>3.256732866254472E-2</v>
      </c>
      <c r="C40" s="60">
        <f>LN('Price Data'!C41/'Price Data'!C40)</f>
        <v>9.4559676732262829E-3</v>
      </c>
      <c r="D40" s="60">
        <f>LN('Price Data'!D41/'Price Data'!D40)</f>
        <v>1.7179169727677843E-2</v>
      </c>
      <c r="E40" s="60">
        <f>LN('Price Data'!E41/'Price Data'!E40)</f>
        <v>1.2316148878361724E-2</v>
      </c>
      <c r="F40" s="60">
        <f>LN('Price Data'!F41/'Price Data'!F40)</f>
        <v>8.8413791386606176E-3</v>
      </c>
    </row>
    <row r="41" spans="1:6" x14ac:dyDescent="0.35">
      <c r="A41" s="2">
        <v>44622</v>
      </c>
      <c r="B41" s="60">
        <f>LN('Price Data'!B42/'Price Data'!B41)</f>
        <v>1.6390469898968051E-2</v>
      </c>
      <c r="C41" s="60">
        <f>LN('Price Data'!C42/'Price Data'!C41)</f>
        <v>-2.2674948274693974E-3</v>
      </c>
      <c r="D41" s="60">
        <f>LN('Price Data'!D42/'Price Data'!D41)</f>
        <v>-3.8219464200077595E-2</v>
      </c>
      <c r="E41" s="60">
        <f>LN('Price Data'!E42/'Price Data'!E41)</f>
        <v>-7.4889186887280397E-3</v>
      </c>
      <c r="F41" s="60">
        <f>LN('Price Data'!F42/'Price Data'!F41)</f>
        <v>-2.5513176311690445E-3</v>
      </c>
    </row>
    <row r="42" spans="1:6" x14ac:dyDescent="0.35">
      <c r="A42" s="2">
        <v>44623</v>
      </c>
      <c r="B42" s="60">
        <f>LN('Price Data'!B43/'Price Data'!B42)</f>
        <v>-8.4765420955210929E-3</v>
      </c>
      <c r="C42" s="60">
        <f>LN('Price Data'!C43/'Price Data'!C42)</f>
        <v>-4.9361475076913465E-4</v>
      </c>
      <c r="D42" s="60">
        <f>LN('Price Data'!D43/'Price Data'!D42)</f>
        <v>-2.3423920623183658E-2</v>
      </c>
      <c r="E42" s="60">
        <f>LN('Price Data'!E43/'Price Data'!E42)</f>
        <v>1.0544399830303907E-2</v>
      </c>
      <c r="F42" s="60">
        <f>LN('Price Data'!F43/'Price Data'!F42)</f>
        <v>1.8864143470812542E-2</v>
      </c>
    </row>
    <row r="43" spans="1:6" x14ac:dyDescent="0.35">
      <c r="A43" s="2">
        <v>44624</v>
      </c>
      <c r="B43" s="60">
        <f>LN('Price Data'!B44/'Price Data'!B43)</f>
        <v>-2.2424858539898673E-2</v>
      </c>
      <c r="C43" s="60">
        <f>LN('Price Data'!C44/'Price Data'!C43)</f>
        <v>-5.6728710931460303E-3</v>
      </c>
      <c r="D43" s="60">
        <f>LN('Price Data'!D44/'Price Data'!D43)</f>
        <v>-1.4787300140698956E-2</v>
      </c>
      <c r="E43" s="60">
        <f>LN('Price Data'!E44/'Price Data'!E43)</f>
        <v>1.4227025032301206E-3</v>
      </c>
      <c r="F43" s="60">
        <f>LN('Price Data'!F44/'Price Data'!F43)</f>
        <v>2.7423611101603153E-2</v>
      </c>
    </row>
    <row r="44" spans="1:6" x14ac:dyDescent="0.35">
      <c r="A44" s="2">
        <v>44627</v>
      </c>
      <c r="B44" s="60">
        <f>LN('Price Data'!B45/'Price Data'!B44)</f>
        <v>-3.7683492039781406E-2</v>
      </c>
      <c r="C44" s="60">
        <f>LN('Price Data'!C45/'Price Data'!C44)</f>
        <v>-1.1256672701660435E-2</v>
      </c>
      <c r="D44" s="60">
        <f>LN('Price Data'!D45/'Price Data'!D44)</f>
        <v>-5.1136494332157924E-2</v>
      </c>
      <c r="E44" s="60">
        <f>LN('Price Data'!E45/'Price Data'!E44)</f>
        <v>9.557845308463573E-3</v>
      </c>
      <c r="F44" s="60">
        <f>LN('Price Data'!F45/'Price Data'!F44)</f>
        <v>-2.4420036555517443E-3</v>
      </c>
    </row>
    <row r="45" spans="1:6" x14ac:dyDescent="0.35">
      <c r="A45" s="2">
        <v>44628</v>
      </c>
      <c r="B45" s="60">
        <f>LN('Price Data'!B46/'Price Data'!B45)</f>
        <v>-1.811594698350714E-3</v>
      </c>
      <c r="C45" s="60">
        <f>LN('Price Data'!C46/'Price Data'!C45)</f>
        <v>3.2480607080520002E-2</v>
      </c>
      <c r="D45" s="60">
        <f>LN('Price Data'!D46/'Price Data'!D45)</f>
        <v>1.706202527672155E-2</v>
      </c>
      <c r="E45" s="60">
        <f>LN('Price Data'!E46/'Price Data'!E45)</f>
        <v>2.1802714091043771E-2</v>
      </c>
      <c r="F45" s="60">
        <f>LN('Price Data'!F46/'Price Data'!F45)</f>
        <v>8.6312364986148426E-3</v>
      </c>
    </row>
    <row r="46" spans="1:6" x14ac:dyDescent="0.35">
      <c r="A46" s="2">
        <v>44629</v>
      </c>
      <c r="B46" s="60">
        <f>LN('Price Data'!B47/'Price Data'!B46)</f>
        <v>5.1697249209219379E-2</v>
      </c>
      <c r="C46" s="60">
        <f>LN('Price Data'!C47/'Price Data'!C46)</f>
        <v>9.0286888564821699E-3</v>
      </c>
      <c r="D46" s="60">
        <f>LN('Price Data'!D47/'Price Data'!D46)</f>
        <v>3.6774404458874044E-3</v>
      </c>
      <c r="E46" s="60">
        <f>LN('Price Data'!E47/'Price Data'!E46)</f>
        <v>1.9574346629071929E-2</v>
      </c>
      <c r="F46" s="60">
        <f>LN('Price Data'!F47/'Price Data'!F46)</f>
        <v>1.0303719350778154E-2</v>
      </c>
    </row>
    <row r="47" spans="1:6" x14ac:dyDescent="0.35">
      <c r="A47" s="2">
        <v>44630</v>
      </c>
      <c r="B47" s="60">
        <f>LN('Price Data'!B48/'Price Data'!B47)</f>
        <v>1.6068964607882211E-2</v>
      </c>
      <c r="C47" s="60">
        <f>LN('Price Data'!C48/'Price Data'!C47)</f>
        <v>-3.2122229852754179E-3</v>
      </c>
      <c r="D47" s="60">
        <f>LN('Price Data'!D48/'Price Data'!D47)</f>
        <v>1.361577524486675E-2</v>
      </c>
      <c r="E47" s="60">
        <f>LN('Price Data'!E48/'Price Data'!E47)</f>
        <v>6.8970528265766533E-3</v>
      </c>
      <c r="F47" s="60">
        <f>LN('Price Data'!F48/'Price Data'!F47)</f>
        <v>1.1924260529735792E-2</v>
      </c>
    </row>
    <row r="48" spans="1:6" x14ac:dyDescent="0.35">
      <c r="A48" s="2">
        <v>44631</v>
      </c>
      <c r="B48" s="60">
        <f>LN('Price Data'!B49/'Price Data'!B48)</f>
        <v>2.8782290726645085E-3</v>
      </c>
      <c r="C48" s="60">
        <f>LN('Price Data'!C49/'Price Data'!C48)</f>
        <v>-6.0387158755941849E-3</v>
      </c>
      <c r="D48" s="60">
        <f>LN('Price Data'!D49/'Price Data'!D48)</f>
        <v>1.9195280903117284E-3</v>
      </c>
      <c r="E48" s="60">
        <f>LN('Price Data'!E49/'Price Data'!E48)</f>
        <v>-2.1382173227837077E-3</v>
      </c>
      <c r="F48" s="60">
        <f>LN('Price Data'!F49/'Price Data'!F48)</f>
        <v>1.8576385572935457E-2</v>
      </c>
    </row>
    <row r="49" spans="1:6" x14ac:dyDescent="0.35">
      <c r="A49" s="2">
        <v>44634</v>
      </c>
      <c r="B49" s="60">
        <f>LN('Price Data'!B50/'Price Data'!B49)</f>
        <v>8.184661355661314E-3</v>
      </c>
      <c r="C49" s="60">
        <f>LN('Price Data'!C50/'Price Data'!C49)</f>
        <v>1.2109811554090365E-2</v>
      </c>
      <c r="D49" s="60">
        <f>LN('Price Data'!D50/'Price Data'!D49)</f>
        <v>2.6565369918374482E-2</v>
      </c>
      <c r="E49" s="60">
        <f>LN('Price Data'!E50/'Price Data'!E49)</f>
        <v>3.7012332033979502E-2</v>
      </c>
      <c r="F49" s="60">
        <f>LN('Price Data'!F50/'Price Data'!F49)</f>
        <v>1.1149794692265297E-2</v>
      </c>
    </row>
    <row r="50" spans="1:6" x14ac:dyDescent="0.35">
      <c r="A50" s="2">
        <v>44635</v>
      </c>
      <c r="B50" s="60">
        <f>LN('Price Data'!B51/'Price Data'!B50)</f>
        <v>-2.3171897679745777E-2</v>
      </c>
      <c r="C50" s="60">
        <f>LN('Price Data'!C51/'Price Data'!C50)</f>
        <v>-1.3569554203521676E-2</v>
      </c>
      <c r="D50" s="60">
        <f>LN('Price Data'!D51/'Price Data'!D50)</f>
        <v>1.7222824494089195E-3</v>
      </c>
      <c r="E50" s="60">
        <f>LN('Price Data'!E51/'Price Data'!E50)</f>
        <v>-2.7562066417131336E-2</v>
      </c>
      <c r="F50" s="60">
        <f>LN('Price Data'!F51/'Price Data'!F50)</f>
        <v>-4.8233290532201725E-3</v>
      </c>
    </row>
    <row r="51" spans="1:6" x14ac:dyDescent="0.35">
      <c r="A51" s="2">
        <v>44636</v>
      </c>
      <c r="B51" s="60">
        <f>LN('Price Data'!B52/'Price Data'!B51)</f>
        <v>1.6739538388526241E-2</v>
      </c>
      <c r="C51" s="60">
        <f>LN('Price Data'!C52/'Price Data'!C51)</f>
        <v>1.7104337097324618E-2</v>
      </c>
      <c r="D51" s="60">
        <f>LN('Price Data'!D52/'Price Data'!D51)</f>
        <v>1.5156656889016318E-2</v>
      </c>
      <c r="E51" s="60">
        <f>LN('Price Data'!E52/'Price Data'!E51)</f>
        <v>2.6874253898282043E-2</v>
      </c>
      <c r="F51" s="60">
        <f>LN('Price Data'!F52/'Price Data'!F51)</f>
        <v>1.977377363165924E-2</v>
      </c>
    </row>
    <row r="52" spans="1:6" x14ac:dyDescent="0.35">
      <c r="A52" s="2">
        <v>44637</v>
      </c>
      <c r="B52" s="60">
        <f>LN('Price Data'!B53/'Price Data'!B52)</f>
        <v>3.2084358551674234E-2</v>
      </c>
      <c r="C52" s="60">
        <f>LN('Price Data'!C53/'Price Data'!C52)</f>
        <v>4.5983993481697816E-3</v>
      </c>
      <c r="D52" s="60">
        <f>LN('Price Data'!D53/'Price Data'!D52)</f>
        <v>1.6945997561101326E-2</v>
      </c>
      <c r="E52" s="60">
        <f>LN('Price Data'!E53/'Price Data'!E52)</f>
        <v>-1.8590278968908424E-2</v>
      </c>
      <c r="F52" s="60">
        <f>LN('Price Data'!F53/'Price Data'!F52)</f>
        <v>9.4359674481722944E-3</v>
      </c>
    </row>
    <row r="53" spans="1:6" x14ac:dyDescent="0.35">
      <c r="A53" s="2">
        <v>44641</v>
      </c>
      <c r="B53" s="60">
        <f>LN('Price Data'!B54/'Price Data'!B53)</f>
        <v>-5.7777641756387001E-3</v>
      </c>
      <c r="C53" s="60">
        <f>LN('Price Data'!C54/'Price Data'!C53)</f>
        <v>-1.261755637448062E-2</v>
      </c>
      <c r="D53" s="60">
        <f>LN('Price Data'!D54/'Price Data'!D53)</f>
        <v>-1.3069340723711942E-2</v>
      </c>
      <c r="E53" s="60">
        <f>LN('Price Data'!E54/'Price Data'!E53)</f>
        <v>-8.3610917443537741E-4</v>
      </c>
      <c r="F53" s="60">
        <f>LN('Price Data'!F54/'Price Data'!F53)</f>
        <v>-1.6346550431954061E-3</v>
      </c>
    </row>
    <row r="54" spans="1:6" x14ac:dyDescent="0.35">
      <c r="A54" s="2">
        <v>44642</v>
      </c>
      <c r="B54" s="60">
        <f>LN('Price Data'!B55/'Price Data'!B54)</f>
        <v>2.550171471731242E-2</v>
      </c>
      <c r="C54" s="60">
        <f>LN('Price Data'!C55/'Price Data'!C54)</f>
        <v>2.0266399556641626E-2</v>
      </c>
      <c r="D54" s="60">
        <f>LN('Price Data'!D55/'Price Data'!D54)</f>
        <v>1.0427331260873302E-2</v>
      </c>
      <c r="E54" s="60">
        <f>LN('Price Data'!E55/'Price Data'!E54)</f>
        <v>1.836729039554244E-2</v>
      </c>
      <c r="F54" s="60">
        <f>LN('Price Data'!F55/'Price Data'!F54)</f>
        <v>2.1245108613736279E-2</v>
      </c>
    </row>
    <row r="55" spans="1:6" x14ac:dyDescent="0.35">
      <c r="A55" s="2">
        <v>44643</v>
      </c>
      <c r="B55" s="60">
        <f>LN('Price Data'!B56/'Price Data'!B55)</f>
        <v>3.1804265635857129E-3</v>
      </c>
      <c r="C55" s="60">
        <f>LN('Price Data'!C56/'Price Data'!C55)</f>
        <v>3.0890242885401706E-3</v>
      </c>
      <c r="D55" s="60">
        <f>LN('Price Data'!D56/'Price Data'!D55)</f>
        <v>1.3922728877342901E-4</v>
      </c>
      <c r="E55" s="60">
        <f>LN('Price Data'!E56/'Price Data'!E55)</f>
        <v>-7.9791901613171165E-3</v>
      </c>
      <c r="F55" s="60">
        <f>LN('Price Data'!F56/'Price Data'!F55)</f>
        <v>8.9686699827603161E-3</v>
      </c>
    </row>
    <row r="56" spans="1:6" x14ac:dyDescent="0.35">
      <c r="A56" s="2">
        <v>44644</v>
      </c>
      <c r="B56" s="60">
        <f>LN('Price Data'!B57/'Price Data'!B56)</f>
        <v>1.5419025749546015E-2</v>
      </c>
      <c r="C56" s="60">
        <f>LN('Price Data'!C57/'Price Data'!C56)</f>
        <v>1.003727144319733E-2</v>
      </c>
      <c r="D56" s="60">
        <f>LN('Price Data'!D57/'Price Data'!D56)</f>
        <v>-1.9824902359803647E-2</v>
      </c>
      <c r="E56" s="60">
        <f>LN('Price Data'!E57/'Price Data'!E56)</f>
        <v>7.6082407916518635E-3</v>
      </c>
      <c r="F56" s="60">
        <f>LN('Price Data'!F57/'Price Data'!F56)</f>
        <v>1.1246049274627376E-2</v>
      </c>
    </row>
    <row r="57" spans="1:6" x14ac:dyDescent="0.35">
      <c r="A57" s="2">
        <v>44645</v>
      </c>
      <c r="B57" s="60">
        <f>LN('Price Data'!B58/'Price Data'!B57)</f>
        <v>6.6415441291088305E-3</v>
      </c>
      <c r="C57" s="60">
        <f>LN('Price Data'!C58/'Price Data'!C57)</f>
        <v>-1.1371530419956272E-2</v>
      </c>
      <c r="D57" s="60">
        <f>LN('Price Data'!D58/'Price Data'!D57)</f>
        <v>-7.0540746388830927E-3</v>
      </c>
      <c r="E57" s="60">
        <f>LN('Price Data'!E58/'Price Data'!E57)</f>
        <v>-5.3942866470865734E-3</v>
      </c>
      <c r="F57" s="60">
        <f>LN('Price Data'!F58/'Price Data'!F57)</f>
        <v>-5.9032048641319817E-3</v>
      </c>
    </row>
    <row r="58" spans="1:6" x14ac:dyDescent="0.35">
      <c r="A58" s="2">
        <v>44648</v>
      </c>
      <c r="B58" s="60">
        <f>LN('Price Data'!B59/'Price Data'!B58)</f>
        <v>1.0006374366811949E-2</v>
      </c>
      <c r="C58" s="60">
        <f>LN('Price Data'!C59/'Price Data'!C58)</f>
        <v>6.7429519320465098E-5</v>
      </c>
      <c r="D58" s="60">
        <f>LN('Price Data'!D59/'Price Data'!D58)</f>
        <v>1.5749474236017059E-2</v>
      </c>
      <c r="E58" s="60">
        <f>LN('Price Data'!E59/'Price Data'!E58)</f>
        <v>-1.4131639888606705E-3</v>
      </c>
      <c r="F58" s="60">
        <f>LN('Price Data'!F59/'Price Data'!F58)</f>
        <v>1.4498686579595018E-2</v>
      </c>
    </row>
    <row r="59" spans="1:6" x14ac:dyDescent="0.35">
      <c r="A59" s="2">
        <v>44649</v>
      </c>
      <c r="B59" s="60">
        <f>LN('Price Data'!B60/'Price Data'!B59)</f>
        <v>2.2683071385116668E-4</v>
      </c>
      <c r="C59" s="60">
        <f>LN('Price Data'!C60/'Price Data'!C59)</f>
        <v>-6.3401705875999444E-4</v>
      </c>
      <c r="D59" s="60">
        <f>LN('Price Data'!D60/'Price Data'!D59)</f>
        <v>6.9442287962518789E-3</v>
      </c>
      <c r="E59" s="60">
        <f>LN('Price Data'!E60/'Price Data'!E59)</f>
        <v>6.4363636117825774E-3</v>
      </c>
      <c r="F59" s="60">
        <f>LN('Price Data'!F60/'Price Data'!F59)</f>
        <v>-9.5769323782075484E-3</v>
      </c>
    </row>
    <row r="60" spans="1:6" x14ac:dyDescent="0.35">
      <c r="A60" s="2">
        <v>44650</v>
      </c>
      <c r="B60" s="60">
        <f>LN('Price Data'!B61/'Price Data'!B60)</f>
        <v>1.9037258821244234E-2</v>
      </c>
      <c r="C60" s="60">
        <f>LN('Price Data'!C61/'Price Data'!C60)</f>
        <v>7.0459757138548558E-3</v>
      </c>
      <c r="D60" s="60">
        <f>LN('Price Data'!D61/'Price Data'!D60)</f>
        <v>2.1574616372007832E-2</v>
      </c>
      <c r="E60" s="60">
        <f>LN('Price Data'!E61/'Price Data'!E60)</f>
        <v>9.4724913088930461E-3</v>
      </c>
      <c r="F60" s="60">
        <f>LN('Price Data'!F61/'Price Data'!F60)</f>
        <v>-2.1437899210008094E-2</v>
      </c>
    </row>
    <row r="61" spans="1:6" x14ac:dyDescent="0.35">
      <c r="A61" s="2">
        <v>44651</v>
      </c>
      <c r="B61" s="60">
        <f>LN('Price Data'!B62/'Price Data'!B61)</f>
        <v>-1.4394351434547E-2</v>
      </c>
      <c r="C61" s="60">
        <f>LN('Price Data'!C62/'Price Data'!C61)</f>
        <v>2.2485454163605092E-3</v>
      </c>
      <c r="D61" s="60">
        <f>LN('Price Data'!D62/'Price Data'!D61)</f>
        <v>-8.2124286028194314E-4</v>
      </c>
      <c r="E61" s="60">
        <f>LN('Price Data'!E62/'Price Data'!E61)</f>
        <v>1.5219904271069683E-3</v>
      </c>
      <c r="F61" s="60">
        <f>LN('Price Data'!F62/'Price Data'!F61)</f>
        <v>5.8017567962144138E-3</v>
      </c>
    </row>
    <row r="62" spans="1:6" x14ac:dyDescent="0.35">
      <c r="A62" s="2">
        <v>44652</v>
      </c>
      <c r="B62" s="60">
        <f>LN('Price Data'!B63/'Price Data'!B62)</f>
        <v>7.9781898558193877E-3</v>
      </c>
      <c r="C62" s="60">
        <f>LN('Price Data'!C63/'Price Data'!C62)</f>
        <v>5.0142129674840986E-3</v>
      </c>
      <c r="D62" s="60">
        <f>LN('Price Data'!D63/'Price Data'!D62)</f>
        <v>8.1143263397324868E-3</v>
      </c>
      <c r="E62" s="60">
        <f>LN('Price Data'!E63/'Price Data'!E62)</f>
        <v>-1.7321020496791695E-3</v>
      </c>
      <c r="F62" s="60">
        <f>LN('Price Data'!F63/'Price Data'!F62)</f>
        <v>1.0517013298117158E-2</v>
      </c>
    </row>
    <row r="63" spans="1:6" x14ac:dyDescent="0.35">
      <c r="A63" s="2">
        <v>44655</v>
      </c>
      <c r="B63" s="60">
        <f>LN('Price Data'!B64/'Price Data'!B63)</f>
        <v>2.9486085884843551E-3</v>
      </c>
      <c r="C63" s="60">
        <f>LN('Price Data'!C64/'Price Data'!C63)</f>
        <v>3.0813800264054563E-3</v>
      </c>
      <c r="D63" s="60">
        <f>LN('Price Data'!D64/'Price Data'!D63)</f>
        <v>1.3959831514687132E-2</v>
      </c>
      <c r="E63" s="60">
        <f>LN('Price Data'!E64/'Price Data'!E63)</f>
        <v>-1.0880867947396684E-2</v>
      </c>
      <c r="F63" s="60">
        <f>LN('Price Data'!F64/'Price Data'!F63)</f>
        <v>8.4521387691773604E-3</v>
      </c>
    </row>
    <row r="64" spans="1:6" x14ac:dyDescent="0.35">
      <c r="A64" s="2">
        <v>44656</v>
      </c>
      <c r="B64" s="60">
        <f>LN('Price Data'!B65/'Price Data'!B64)</f>
        <v>-1.4234967606662673E-2</v>
      </c>
      <c r="C64" s="60">
        <f>LN('Price Data'!C65/'Price Data'!C64)</f>
        <v>1.1720403375613078E-2</v>
      </c>
      <c r="D64" s="60">
        <f>LN('Price Data'!D65/'Price Data'!D64)</f>
        <v>-6.449901424993105E-3</v>
      </c>
      <c r="E64" s="60">
        <f>LN('Price Data'!E65/'Price Data'!E64)</f>
        <v>-1.1671985182409228E-2</v>
      </c>
      <c r="F64" s="60">
        <f>LN('Price Data'!F65/'Price Data'!F64)</f>
        <v>1.5537310036941716E-2</v>
      </c>
    </row>
    <row r="65" spans="1:6" x14ac:dyDescent="0.35">
      <c r="A65" s="2">
        <v>44657</v>
      </c>
      <c r="B65" s="60">
        <f>LN('Price Data'!B66/'Price Data'!B65)</f>
        <v>-2.6712603561194E-3</v>
      </c>
      <c r="C65" s="60">
        <f>LN('Price Data'!C66/'Price Data'!C65)</f>
        <v>-1.5706748795622432E-2</v>
      </c>
      <c r="D65" s="60">
        <f>LN('Price Data'!D66/'Price Data'!D65)</f>
        <v>-2.6965080384499357E-4</v>
      </c>
      <c r="E65" s="60">
        <f>LN('Price Data'!E66/'Price Data'!E65)</f>
        <v>-1.7480356750653424E-2</v>
      </c>
      <c r="F65" s="60">
        <f>LN('Price Data'!F66/'Price Data'!F65)</f>
        <v>5.7797901618643409E-4</v>
      </c>
    </row>
    <row r="66" spans="1:6" x14ac:dyDescent="0.35">
      <c r="A66" s="2">
        <v>44658</v>
      </c>
      <c r="B66" s="60">
        <f>LN('Price Data'!B67/'Price Data'!B66)</f>
        <v>-1.7796162882183816E-2</v>
      </c>
      <c r="C66" s="60">
        <f>LN('Price Data'!C67/'Price Data'!C66)</f>
        <v>-1.9141655750458387E-2</v>
      </c>
      <c r="D66" s="60">
        <f>LN('Price Data'!D67/'Price Data'!D66)</f>
        <v>9.3279876442000885E-3</v>
      </c>
      <c r="E66" s="60">
        <f>LN('Price Data'!E67/'Price Data'!E66)</f>
        <v>-9.8081751158511851E-3</v>
      </c>
      <c r="F66" s="60">
        <f>LN('Price Data'!F67/'Price Data'!F66)</f>
        <v>-1.1428695823622968E-2</v>
      </c>
    </row>
    <row r="67" spans="1:6" x14ac:dyDescent="0.35">
      <c r="A67" s="2">
        <v>44659</v>
      </c>
      <c r="B67" s="60">
        <f>LN('Price Data'!B68/'Price Data'!B67)</f>
        <v>1.6499964601231581E-2</v>
      </c>
      <c r="C67" s="60">
        <f>LN('Price Data'!C68/'Price Data'!C67)</f>
        <v>4.0706668314281937E-4</v>
      </c>
      <c r="D67" s="60">
        <f>LN('Price Data'!D68/'Price Data'!D67)</f>
        <v>7.6521649637394671E-3</v>
      </c>
      <c r="E67" s="60">
        <f>LN('Price Data'!E68/'Price Data'!E67)</f>
        <v>1.9858788521151249E-3</v>
      </c>
      <c r="F67" s="60">
        <f>LN('Price Data'!F68/'Price Data'!F67)</f>
        <v>3.6384342703909382E-2</v>
      </c>
    </row>
    <row r="68" spans="1:6" x14ac:dyDescent="0.35">
      <c r="A68" s="2">
        <v>44662</v>
      </c>
      <c r="B68" s="60">
        <f>LN('Price Data'!B69/'Price Data'!B68)</f>
        <v>-2.0824821936404189E-3</v>
      </c>
      <c r="C68" s="60">
        <f>LN('Price Data'!C69/'Price Data'!C68)</f>
        <v>2.9124721720659502E-3</v>
      </c>
      <c r="D68" s="60">
        <f>LN('Price Data'!D69/'Price Data'!D68)</f>
        <v>7.0018120785457615E-3</v>
      </c>
      <c r="E68" s="60">
        <f>LN('Price Data'!E69/'Price Data'!E68)</f>
        <v>-2.6836565779861293E-2</v>
      </c>
      <c r="F68" s="60">
        <f>LN('Price Data'!F69/'Price Data'!F68)</f>
        <v>5.0219346258397546E-3</v>
      </c>
    </row>
    <row r="69" spans="1:6" x14ac:dyDescent="0.35">
      <c r="A69" s="2">
        <v>44663</v>
      </c>
      <c r="B69" s="60">
        <f>LN('Price Data'!B70/'Price Data'!B69)</f>
        <v>-1.9008917806838256E-2</v>
      </c>
      <c r="C69" s="60">
        <f>LN('Price Data'!C70/'Price Data'!C69)</f>
        <v>-1.4348564221479741E-3</v>
      </c>
      <c r="D69" s="60">
        <f>LN('Price Data'!D70/'Price Data'!D69)</f>
        <v>5.5794558736008979E-3</v>
      </c>
      <c r="E69" s="60">
        <f>LN('Price Data'!E70/'Price Data'!E69)</f>
        <v>-1.3736323137271545E-2</v>
      </c>
      <c r="F69" s="60">
        <f>LN('Price Data'!F70/'Price Data'!F69)</f>
        <v>-1.6281357614066641E-2</v>
      </c>
    </row>
    <row r="70" spans="1:6" x14ac:dyDescent="0.35">
      <c r="A70" s="2">
        <v>44664</v>
      </c>
      <c r="B70" s="60">
        <f>LN('Price Data'!B71/'Price Data'!B70)</f>
        <v>-3.6797538947106107E-3</v>
      </c>
      <c r="C70" s="60">
        <f>LN('Price Data'!C71/'Price Data'!C70)</f>
        <v>-7.9287241916195916E-3</v>
      </c>
      <c r="D70" s="60">
        <f>LN('Price Data'!D71/'Price Data'!D70)</f>
        <v>-2.0968489433677256E-3</v>
      </c>
      <c r="E70" s="60">
        <f>LN('Price Data'!E71/'Price Data'!E70)</f>
        <v>3.4947042155554576E-3</v>
      </c>
      <c r="F70" s="60">
        <f>LN('Price Data'!F71/'Price Data'!F70)</f>
        <v>2.39156931756833E-2</v>
      </c>
    </row>
    <row r="71" spans="1:6" x14ac:dyDescent="0.35">
      <c r="A71" s="2">
        <v>44669</v>
      </c>
      <c r="B71" s="60">
        <f>LN('Price Data'!B72/'Price Data'!B71)</f>
        <v>-3.0609621824461558E-3</v>
      </c>
      <c r="C71" s="60">
        <f>LN('Price Data'!C72/'Price Data'!C71)</f>
        <v>-3.7250482038261444E-2</v>
      </c>
      <c r="D71" s="60">
        <f>LN('Price Data'!D72/'Price Data'!D71)</f>
        <v>-5.8550872838638275E-3</v>
      </c>
      <c r="E71" s="60">
        <f>LN('Price Data'!E72/'Price Data'!E71)</f>
        <v>-7.5496899480344187E-2</v>
      </c>
      <c r="F71" s="60">
        <f>LN('Price Data'!F72/'Price Data'!F71)</f>
        <v>-4.0892250290992856E-3</v>
      </c>
    </row>
    <row r="72" spans="1:6" x14ac:dyDescent="0.35">
      <c r="A72" s="2">
        <v>44670</v>
      </c>
      <c r="B72" s="60">
        <f>LN('Price Data'!B73/'Price Data'!B72)</f>
        <v>3.7404454745369908E-2</v>
      </c>
      <c r="C72" s="60">
        <f>LN('Price Data'!C73/'Price Data'!C72)</f>
        <v>-1.6043315839714488E-2</v>
      </c>
      <c r="D72" s="60">
        <f>LN('Price Data'!D73/'Price Data'!D72)</f>
        <v>1.1154239391858231E-2</v>
      </c>
      <c r="E72" s="60">
        <f>LN('Price Data'!E73/'Price Data'!E72)</f>
        <v>-3.7322922153975556E-2</v>
      </c>
      <c r="F72" s="60">
        <f>LN('Price Data'!F73/'Price Data'!F72)</f>
        <v>-2.6039207051958339E-2</v>
      </c>
    </row>
    <row r="73" spans="1:6" x14ac:dyDescent="0.35">
      <c r="A73" s="2">
        <v>44671</v>
      </c>
      <c r="B73" s="60">
        <f>LN('Price Data'!B74/'Price Data'!B73)</f>
        <v>2.8973712738648807E-2</v>
      </c>
      <c r="C73" s="60">
        <f>LN('Price Data'!C74/'Price Data'!C73)</f>
        <v>2.4159269687790363E-2</v>
      </c>
      <c r="D73" s="60">
        <f>LN('Price Data'!D74/'Price Data'!D73)</f>
        <v>-1.4127777116589479E-2</v>
      </c>
      <c r="E73" s="60">
        <f>LN('Price Data'!E74/'Price Data'!E73)</f>
        <v>1.6319376683834576E-2</v>
      </c>
      <c r="F73" s="60">
        <f>LN('Price Data'!F74/'Price Data'!F73)</f>
        <v>-7.6761075433819936E-3</v>
      </c>
    </row>
    <row r="74" spans="1:6" x14ac:dyDescent="0.35">
      <c r="A74" s="2">
        <v>44672</v>
      </c>
      <c r="B74" s="60">
        <f>LN('Price Data'!B75/'Price Data'!B74)</f>
        <v>2.3150109081531072E-2</v>
      </c>
      <c r="C74" s="60">
        <f>LN('Price Data'!C75/'Price Data'!C74)</f>
        <v>1.9999414050255043E-2</v>
      </c>
      <c r="D74" s="60">
        <f>LN('Price Data'!D75/'Price Data'!D74)</f>
        <v>8.9598069581470242E-3</v>
      </c>
      <c r="E74" s="60">
        <f>LN('Price Data'!E75/'Price Data'!E74)</f>
        <v>1.9398705918244719E-2</v>
      </c>
      <c r="F74" s="60">
        <f>LN('Price Data'!F75/'Price Data'!F74)</f>
        <v>3.2695480611759473E-3</v>
      </c>
    </row>
    <row r="75" spans="1:6" x14ac:dyDescent="0.35">
      <c r="A75" s="2">
        <v>44673</v>
      </c>
      <c r="B75" s="60">
        <f>LN('Price Data'!B76/'Price Data'!B75)</f>
        <v>-8.4129663901056813E-3</v>
      </c>
      <c r="C75" s="60">
        <f>LN('Price Data'!C76/'Price Data'!C75)</f>
        <v>-4.4467841048331279E-3</v>
      </c>
      <c r="D75" s="60">
        <f>LN('Price Data'!D76/'Price Data'!D75)</f>
        <v>-1.9470813788063441E-2</v>
      </c>
      <c r="E75" s="60">
        <f>LN('Price Data'!E76/'Price Data'!E75)</f>
        <v>-2.0816855313697178E-2</v>
      </c>
      <c r="F75" s="60">
        <f>LN('Price Data'!F76/'Price Data'!F75)</f>
        <v>2.6845653706692044E-3</v>
      </c>
    </row>
    <row r="76" spans="1:6" x14ac:dyDescent="0.35">
      <c r="A76" s="2">
        <v>44676</v>
      </c>
      <c r="B76" s="60">
        <f>LN('Price Data'!B77/'Price Data'!B76)</f>
        <v>-2.3397037613048885E-2</v>
      </c>
      <c r="C76" s="60">
        <f>LN('Price Data'!C77/'Price Data'!C76)</f>
        <v>-1.7973461528805891E-2</v>
      </c>
      <c r="D76" s="60">
        <f>LN('Price Data'!D77/'Price Data'!D76)</f>
        <v>6.0672920063834486E-3</v>
      </c>
      <c r="E76" s="60">
        <f>LN('Price Data'!E77/'Price Data'!E76)</f>
        <v>-1.5477577725392334E-2</v>
      </c>
      <c r="F76" s="60">
        <f>LN('Price Data'!F77/'Price Data'!F76)</f>
        <v>-2.2660018660308322E-2</v>
      </c>
    </row>
    <row r="77" spans="1:6" x14ac:dyDescent="0.35">
      <c r="A77" s="2">
        <v>44677</v>
      </c>
      <c r="B77" s="60">
        <f>LN('Price Data'!B78/'Price Data'!B77)</f>
        <v>2.9487214661530547E-2</v>
      </c>
      <c r="C77" s="60">
        <f>LN('Price Data'!C78/'Price Data'!C77)</f>
        <v>-5.3562620210720942E-4</v>
      </c>
      <c r="D77" s="60">
        <f>LN('Price Data'!D78/'Price Data'!D77)</f>
        <v>2.0585020051592201E-3</v>
      </c>
      <c r="E77" s="60">
        <f>LN('Price Data'!E78/'Price Data'!E77)</f>
        <v>1.266685724685121E-2</v>
      </c>
      <c r="F77" s="60">
        <f>LN('Price Data'!F78/'Price Data'!F77)</f>
        <v>1.4391535825125468E-2</v>
      </c>
    </row>
    <row r="78" spans="1:6" x14ac:dyDescent="0.35">
      <c r="A78" s="2">
        <v>44678</v>
      </c>
      <c r="B78" s="60">
        <f>LN('Price Data'!B79/'Price Data'!B78)</f>
        <v>9.7575301360084798E-4</v>
      </c>
      <c r="C78" s="60">
        <f>LN('Price Data'!C79/'Price Data'!C78)</f>
        <v>4.1927602750750602E-3</v>
      </c>
      <c r="D78" s="60">
        <f>LN('Price Data'!D79/'Price Data'!D78)</f>
        <v>-2.2879994352627199E-2</v>
      </c>
      <c r="E78" s="60">
        <f>LN('Price Data'!E79/'Price Data'!E78)</f>
        <v>-1.7997805354671503E-2</v>
      </c>
      <c r="F78" s="60">
        <f>LN('Price Data'!F79/'Price Data'!F78)</f>
        <v>-5.6152727661096108E-3</v>
      </c>
    </row>
    <row r="79" spans="1:6" x14ac:dyDescent="0.35">
      <c r="A79" s="2">
        <v>44679</v>
      </c>
      <c r="B79" s="60">
        <f>LN('Price Data'!B80/'Price Data'!B79)</f>
        <v>1.4820099751076387E-2</v>
      </c>
      <c r="C79" s="60">
        <f>LN('Price Data'!C80/'Price Data'!C79)</f>
        <v>6.4656302493500822E-3</v>
      </c>
      <c r="D79" s="60">
        <f>LN('Price Data'!D80/'Price Data'!D79)</f>
        <v>1.4085214498634115E-2</v>
      </c>
      <c r="E79" s="60">
        <f>LN('Price Data'!E80/'Price Data'!E79)</f>
        <v>1.9009311320292491E-2</v>
      </c>
      <c r="F79" s="60">
        <f>LN('Price Data'!F80/'Price Data'!F79)</f>
        <v>1.3883755601292513E-2</v>
      </c>
    </row>
    <row r="80" spans="1:6" x14ac:dyDescent="0.35">
      <c r="A80" s="2">
        <v>44680</v>
      </c>
      <c r="B80" s="60">
        <f>LN('Price Data'!B81/'Price Data'!B80)</f>
        <v>-1.0547535730236583E-2</v>
      </c>
      <c r="C80" s="60">
        <f>LN('Price Data'!C81/'Price Data'!C80)</f>
        <v>-1.0545603269265421E-2</v>
      </c>
      <c r="D80" s="60">
        <f>LN('Price Data'!D81/'Price Data'!D80)</f>
        <v>-5.1662364561543056E-3</v>
      </c>
      <c r="E80" s="60">
        <f>LN('Price Data'!E81/'Price Data'!E80)</f>
        <v>-9.555173250110436E-3</v>
      </c>
      <c r="F80" s="60">
        <f>LN('Price Data'!F81/'Price Data'!F80)</f>
        <v>-5.9541134318451842E-3</v>
      </c>
    </row>
    <row r="81" spans="1:6" x14ac:dyDescent="0.35">
      <c r="A81" s="2">
        <v>44683</v>
      </c>
      <c r="B81" s="60">
        <f>LN('Price Data'!B82/'Price Data'!B81)</f>
        <v>-3.5195847635261907E-3</v>
      </c>
      <c r="C81" s="60">
        <f>LN('Price Data'!C82/'Price Data'!C81)</f>
        <v>-1.2131301652829206E-3</v>
      </c>
      <c r="D81" s="60">
        <f>LN('Price Data'!D82/'Price Data'!D81)</f>
        <v>-3.0991064351608114E-3</v>
      </c>
      <c r="E81" s="60">
        <f>LN('Price Data'!E82/'Price Data'!E81)</f>
        <v>-1.7082334604866745E-2</v>
      </c>
      <c r="F81" s="60">
        <f>LN('Price Data'!F82/'Price Data'!F81)</f>
        <v>1.3774849526549884E-2</v>
      </c>
    </row>
    <row r="82" spans="1:6" x14ac:dyDescent="0.35">
      <c r="A82" s="2">
        <v>44685</v>
      </c>
      <c r="B82" s="60">
        <f>LN('Price Data'!B83/'Price Data'!B82)</f>
        <v>-3.1714706176984075E-2</v>
      </c>
      <c r="C82" s="60">
        <f>LN('Price Data'!C83/'Price Data'!C82)</f>
        <v>-1.7844011406807896E-2</v>
      </c>
      <c r="D82" s="60">
        <f>LN('Price Data'!D83/'Price Data'!D82)</f>
        <v>-2.2863988646627125E-2</v>
      </c>
      <c r="E82" s="60">
        <f>LN('Price Data'!E83/'Price Data'!E82)</f>
        <v>-3.5429332862263008E-3</v>
      </c>
      <c r="F82" s="60">
        <f>LN('Price Data'!F83/'Price Data'!F82)</f>
        <v>-1.3004581820451123E-2</v>
      </c>
    </row>
    <row r="83" spans="1:6" x14ac:dyDescent="0.35">
      <c r="A83" s="2">
        <v>44686</v>
      </c>
      <c r="B83" s="60">
        <f>LN('Price Data'!B84/'Price Data'!B83)</f>
        <v>-1.9781690759075678E-2</v>
      </c>
      <c r="C83" s="60">
        <f>LN('Price Data'!C84/'Price Data'!C83)</f>
        <v>9.6237774717726939E-3</v>
      </c>
      <c r="D83" s="60">
        <f>LN('Price Data'!D84/'Price Data'!D83)</f>
        <v>6.2627092962888068E-3</v>
      </c>
      <c r="E83" s="60">
        <f>LN('Price Data'!E84/'Price Data'!E83)</f>
        <v>3.1790417023646843E-2</v>
      </c>
      <c r="F83" s="60">
        <f>LN('Price Data'!F84/'Price Data'!F83)</f>
        <v>8.8156952688385453E-3</v>
      </c>
    </row>
    <row r="84" spans="1:6" x14ac:dyDescent="0.35">
      <c r="A84" s="2">
        <v>44687</v>
      </c>
      <c r="B84" s="60">
        <f>LN('Price Data'!B85/'Price Data'!B84)</f>
        <v>-7.6956630296633535E-3</v>
      </c>
      <c r="C84" s="60">
        <f>LN('Price Data'!C85/'Price Data'!C84)</f>
        <v>-2.3266238076744553E-2</v>
      </c>
      <c r="D84" s="60">
        <f>LN('Price Data'!D85/'Price Data'!D84)</f>
        <v>-1.3190343514091183E-2</v>
      </c>
      <c r="E84" s="60">
        <f>LN('Price Data'!E85/'Price Data'!E84)</f>
        <v>-2.7047684640884886E-2</v>
      </c>
      <c r="F84" s="60">
        <f>LN('Price Data'!F85/'Price Data'!F84)</f>
        <v>1.7401611798435742E-2</v>
      </c>
    </row>
    <row r="85" spans="1:6" x14ac:dyDescent="0.35">
      <c r="A85" s="2">
        <v>44690</v>
      </c>
      <c r="B85" s="60">
        <f>LN('Price Data'!B86/'Price Data'!B85)</f>
        <v>-3.9838595813245344E-2</v>
      </c>
      <c r="C85" s="60">
        <f>LN('Price Data'!C86/'Price Data'!C85)</f>
        <v>3.6349401001262885E-3</v>
      </c>
      <c r="D85" s="60">
        <f>LN('Price Data'!D86/'Price Data'!D85)</f>
        <v>-1.2451196113571202E-2</v>
      </c>
      <c r="E85" s="60">
        <f>LN('Price Data'!E86/'Price Data'!E85)</f>
        <v>1.7667169016822214E-2</v>
      </c>
      <c r="F85" s="60">
        <f>LN('Price Data'!F86/'Price Data'!F85)</f>
        <v>-2.0114695485611143E-2</v>
      </c>
    </row>
    <row r="86" spans="1:6" x14ac:dyDescent="0.35">
      <c r="A86" s="2">
        <v>44691</v>
      </c>
      <c r="B86" s="60">
        <f>LN('Price Data'!B87/'Price Data'!B86)</f>
        <v>-1.7481527938760524E-2</v>
      </c>
      <c r="C86" s="60">
        <f>LN('Price Data'!C87/'Price Data'!C86)</f>
        <v>-1.844898363880089E-3</v>
      </c>
      <c r="D86" s="60">
        <f>LN('Price Data'!D87/'Price Data'!D86)</f>
        <v>1.3364754213832256E-3</v>
      </c>
      <c r="E86" s="60">
        <f>LN('Price Data'!E87/'Price Data'!E86)</f>
        <v>-1.1109980284786497E-2</v>
      </c>
      <c r="F86" s="60">
        <f>LN('Price Data'!F87/'Price Data'!F86)</f>
        <v>-6.1026115816631846E-3</v>
      </c>
    </row>
    <row r="87" spans="1:6" x14ac:dyDescent="0.35">
      <c r="A87" s="2">
        <v>44692</v>
      </c>
      <c r="B87" s="60">
        <f>LN('Price Data'!B88/'Price Data'!B87)</f>
        <v>-1.0299268269276612E-2</v>
      </c>
      <c r="C87" s="60">
        <f>LN('Price Data'!C88/'Price Data'!C87)</f>
        <v>-7.8094036272145255E-3</v>
      </c>
      <c r="D87" s="60">
        <f>LN('Price Data'!D88/'Price Data'!D87)</f>
        <v>4.0687534208787828E-3</v>
      </c>
      <c r="E87" s="60">
        <f>LN('Price Data'!E88/'Price Data'!E87)</f>
        <v>-1.7047251045442895E-2</v>
      </c>
      <c r="F87" s="60">
        <f>LN('Price Data'!F88/'Price Data'!F87)</f>
        <v>-2.2031095012439432E-2</v>
      </c>
    </row>
    <row r="88" spans="1:6" x14ac:dyDescent="0.35">
      <c r="A88" s="2">
        <v>44693</v>
      </c>
      <c r="B88" s="60">
        <f>LN('Price Data'!B89/'Price Data'!B88)</f>
        <v>-2.0582560978370884E-2</v>
      </c>
      <c r="C88" s="60">
        <f>LN('Price Data'!C89/'Price Data'!C88)</f>
        <v>-9.8231114904814691E-4</v>
      </c>
      <c r="D88" s="60">
        <f>LN('Price Data'!D89/'Price Data'!D88)</f>
        <v>-2.610077244250656E-2</v>
      </c>
      <c r="E88" s="60">
        <f>LN('Price Data'!E89/'Price Data'!E88)</f>
        <v>-1.1826660224051155E-2</v>
      </c>
      <c r="F88" s="60">
        <f>LN('Price Data'!F89/'Price Data'!F88)</f>
        <v>-1.0842144828313031E-2</v>
      </c>
    </row>
    <row r="89" spans="1:6" x14ac:dyDescent="0.35">
      <c r="A89" s="2">
        <v>44694</v>
      </c>
      <c r="B89" s="60">
        <f>LN('Price Data'!B90/'Price Data'!B89)</f>
        <v>1.1275208806460565E-2</v>
      </c>
      <c r="C89" s="60">
        <f>LN('Price Data'!C90/'Price Data'!C89)</f>
        <v>1.831891536758989E-3</v>
      </c>
      <c r="D89" s="60">
        <f>LN('Price Data'!D90/'Price Data'!D89)</f>
        <v>-2.6874136691096177E-2</v>
      </c>
      <c r="E89" s="60">
        <f>LN('Price Data'!E90/'Price Data'!E89)</f>
        <v>-2.9204852830116623E-3</v>
      </c>
      <c r="F89" s="60">
        <f>LN('Price Data'!F90/'Price Data'!F89)</f>
        <v>2.8436076199172922E-2</v>
      </c>
    </row>
    <row r="90" spans="1:6" x14ac:dyDescent="0.35">
      <c r="A90" s="2">
        <v>44697</v>
      </c>
      <c r="B90" s="60">
        <f>LN('Price Data'!B91/'Price Data'!B90)</f>
        <v>2.4508802867672958E-4</v>
      </c>
      <c r="C90" s="60">
        <f>LN('Price Data'!C91/'Price Data'!C90)</f>
        <v>-1.1219694530991649E-2</v>
      </c>
      <c r="D90" s="60">
        <f>LN('Price Data'!D91/'Price Data'!D90)</f>
        <v>8.3067335440445804E-3</v>
      </c>
      <c r="E90" s="60">
        <f>LN('Price Data'!E91/'Price Data'!E90)</f>
        <v>-1.0222237000022017E-2</v>
      </c>
      <c r="F90" s="60">
        <f>LN('Price Data'!F91/'Price Data'!F90)</f>
        <v>-1.7554576011638838E-2</v>
      </c>
    </row>
    <row r="91" spans="1:6" x14ac:dyDescent="0.35">
      <c r="A91" s="2">
        <v>44698</v>
      </c>
      <c r="B91" s="60">
        <f>LN('Price Data'!B92/'Price Data'!B91)</f>
        <v>4.1146507562973382E-2</v>
      </c>
      <c r="C91" s="60">
        <f>LN('Price Data'!C92/'Price Data'!C91)</f>
        <v>2.1909376165863265E-2</v>
      </c>
      <c r="D91" s="60">
        <f>LN('Price Data'!D92/'Price Data'!D91)</f>
        <v>3.8770110464571017E-2</v>
      </c>
      <c r="E91" s="60">
        <f>LN('Price Data'!E92/'Price Data'!E91)</f>
        <v>1.3898004324012973E-2</v>
      </c>
      <c r="F91" s="60">
        <f>LN('Price Data'!F92/'Price Data'!F91)</f>
        <v>4.0869218906937226E-2</v>
      </c>
    </row>
    <row r="92" spans="1:6" x14ac:dyDescent="0.35">
      <c r="A92" s="2">
        <v>44699</v>
      </c>
      <c r="B92" s="60">
        <f>LN('Price Data'!B93/'Price Data'!B92)</f>
        <v>3.6256337835342939E-3</v>
      </c>
      <c r="C92" s="60">
        <f>LN('Price Data'!C93/'Price Data'!C92)</f>
        <v>-8.1154720122754106E-4</v>
      </c>
      <c r="D92" s="60">
        <f>LN('Price Data'!D93/'Price Data'!D92)</f>
        <v>-3.7393771304177004E-3</v>
      </c>
      <c r="E92" s="60">
        <f>LN('Price Data'!E93/'Price Data'!E92)</f>
        <v>-6.1115951454190883E-3</v>
      </c>
      <c r="F92" s="60">
        <f>LN('Price Data'!F93/'Price Data'!F92)</f>
        <v>7.9022048084132074E-3</v>
      </c>
    </row>
    <row r="93" spans="1:6" x14ac:dyDescent="0.35">
      <c r="A93" s="2">
        <v>44700</v>
      </c>
      <c r="B93" s="60">
        <f>LN('Price Data'!B94/'Price Data'!B93)</f>
        <v>-2.3311897625650623E-2</v>
      </c>
      <c r="C93" s="60">
        <f>LN('Price Data'!C94/'Price Data'!C93)</f>
        <v>-5.5701168389061001E-2</v>
      </c>
      <c r="D93" s="60">
        <f>LN('Price Data'!D94/'Price Data'!D93)</f>
        <v>-2.4399307195513517E-2</v>
      </c>
      <c r="E93" s="60">
        <f>LN('Price Data'!E94/'Price Data'!E93)</f>
        <v>-5.5900218956190219E-2</v>
      </c>
      <c r="F93" s="60">
        <f>LN('Price Data'!F94/'Price Data'!F93)</f>
        <v>2.6482796288235771E-2</v>
      </c>
    </row>
    <row r="94" spans="1:6" x14ac:dyDescent="0.35">
      <c r="A94" s="2">
        <v>44701</v>
      </c>
      <c r="B94" s="60">
        <f>LN('Price Data'!B95/'Price Data'!B94)</f>
        <v>5.6674638566831165E-2</v>
      </c>
      <c r="C94" s="60">
        <f>LN('Price Data'!C95/'Price Data'!C94)</f>
        <v>9.4738273325003057E-3</v>
      </c>
      <c r="D94" s="60">
        <f>LN('Price Data'!D95/'Price Data'!D94)</f>
        <v>2.7504680571116734E-2</v>
      </c>
      <c r="E94" s="60">
        <f>LN('Price Data'!E95/'Price Data'!E94)</f>
        <v>1.9427435939006366E-2</v>
      </c>
      <c r="F94" s="60">
        <f>LN('Price Data'!F95/'Price Data'!F94)</f>
        <v>1.5681625109555352E-2</v>
      </c>
    </row>
    <row r="95" spans="1:6" x14ac:dyDescent="0.35">
      <c r="A95" s="2">
        <v>44704</v>
      </c>
      <c r="B95" s="60">
        <f>LN('Price Data'!B96/'Price Data'!B95)</f>
        <v>-6.7125368376232475E-3</v>
      </c>
      <c r="C95" s="60">
        <f>LN('Price Data'!C96/'Price Data'!C95)</f>
        <v>8.6927490950530154E-3</v>
      </c>
      <c r="D95" s="60">
        <f>LN('Price Data'!D96/'Price Data'!D95)</f>
        <v>2.1117845381587439E-3</v>
      </c>
      <c r="E95" s="60">
        <f>LN('Price Data'!E96/'Price Data'!E95)</f>
        <v>9.0673305225581098E-3</v>
      </c>
      <c r="F95" s="60">
        <f>LN('Price Data'!F96/'Price Data'!F95)</f>
        <v>-1.9851498374285532E-2</v>
      </c>
    </row>
    <row r="96" spans="1:6" x14ac:dyDescent="0.35">
      <c r="A96" s="2">
        <v>44705</v>
      </c>
      <c r="B96" s="60">
        <f>LN('Price Data'!B97/'Price Data'!B96)</f>
        <v>3.4250653537366092E-3</v>
      </c>
      <c r="C96" s="60">
        <f>LN('Price Data'!C97/'Price Data'!C96)</f>
        <v>-1.0212275295346766E-2</v>
      </c>
      <c r="D96" s="60">
        <f>LN('Price Data'!D97/'Price Data'!D96)</f>
        <v>-4.0868151582998781E-3</v>
      </c>
      <c r="E96" s="60">
        <f>LN('Price Data'!E97/'Price Data'!E96)</f>
        <v>-1.8831568214520467E-2</v>
      </c>
      <c r="F96" s="60">
        <f>LN('Price Data'!F97/'Price Data'!F96)</f>
        <v>-1.3394787086898174E-2</v>
      </c>
    </row>
    <row r="97" spans="1:6" x14ac:dyDescent="0.35">
      <c r="A97" s="2">
        <v>44706</v>
      </c>
      <c r="B97" s="60">
        <f>LN('Price Data'!B98/'Price Data'!B97)</f>
        <v>-1.4748830141784865E-3</v>
      </c>
      <c r="C97" s="60">
        <f>LN('Price Data'!C98/'Price Data'!C97)</f>
        <v>-3.7289489143076247E-2</v>
      </c>
      <c r="D97" s="60">
        <f>LN('Price Data'!D98/'Price Data'!D97)</f>
        <v>7.3162479004181174E-3</v>
      </c>
      <c r="E97" s="60">
        <f>LN('Price Data'!E98/'Price Data'!E97)</f>
        <v>-2.142929068033804E-2</v>
      </c>
      <c r="F97" s="60">
        <f>LN('Price Data'!F98/'Price Data'!F97)</f>
        <v>6.8120658817204041E-3</v>
      </c>
    </row>
    <row r="98" spans="1:6" x14ac:dyDescent="0.35">
      <c r="A98" s="2">
        <v>44707</v>
      </c>
      <c r="B98" s="60">
        <f>LN('Price Data'!B99/'Price Data'!B98)</f>
        <v>-9.5762632140724453E-3</v>
      </c>
      <c r="C98" s="60">
        <f>LN('Price Data'!C99/'Price Data'!C98)</f>
        <v>1.8547430631808963E-2</v>
      </c>
      <c r="D98" s="60">
        <f>LN('Price Data'!D99/'Price Data'!D98)</f>
        <v>2.101544207443598E-2</v>
      </c>
      <c r="E98" s="60">
        <f>LN('Price Data'!E99/'Price Data'!E98)</f>
        <v>9.5228002032824079E-3</v>
      </c>
      <c r="F98" s="60">
        <f>LN('Price Data'!F99/'Price Data'!F98)</f>
        <v>-2.2235573811896017E-2</v>
      </c>
    </row>
    <row r="99" spans="1:6" x14ac:dyDescent="0.35">
      <c r="A99" s="2">
        <v>44708</v>
      </c>
      <c r="B99" s="60">
        <f>LN('Price Data'!B100/'Price Data'!B99)</f>
        <v>-4.6516277058053536E-3</v>
      </c>
      <c r="C99" s="60">
        <f>LN('Price Data'!C100/'Price Data'!C99)</f>
        <v>1.0588470213261246E-2</v>
      </c>
      <c r="D99" s="60">
        <f>LN('Price Data'!D100/'Price Data'!D99)</f>
        <v>1.5392253763094067E-2</v>
      </c>
      <c r="E99" s="60">
        <f>LN('Price Data'!E100/'Price Data'!E99)</f>
        <v>2.5925686918611721E-2</v>
      </c>
      <c r="F99" s="60">
        <f>LN('Price Data'!F100/'Price Data'!F99)</f>
        <v>9.3125227094131915E-3</v>
      </c>
    </row>
    <row r="100" spans="1:6" x14ac:dyDescent="0.35">
      <c r="A100" s="2">
        <v>44711</v>
      </c>
      <c r="B100" s="60">
        <f>LN('Price Data'!B101/'Price Data'!B100)</f>
        <v>3.4242837076127491E-2</v>
      </c>
      <c r="C100" s="60">
        <f>LN('Price Data'!C101/'Price Data'!C100)</f>
        <v>3.4343506759291001E-2</v>
      </c>
      <c r="D100" s="60">
        <f>LN('Price Data'!D101/'Price Data'!D100)</f>
        <v>1.1691324461329509E-2</v>
      </c>
      <c r="E100" s="60">
        <f>LN('Price Data'!E101/'Price Data'!E100)</f>
        <v>4.3811273718285484E-2</v>
      </c>
      <c r="F100" s="60">
        <f>LN('Price Data'!F101/'Price Data'!F100)</f>
        <v>-5.6080008947095264E-4</v>
      </c>
    </row>
    <row r="101" spans="1:6" x14ac:dyDescent="0.35">
      <c r="A101" s="2">
        <v>44712</v>
      </c>
      <c r="B101" s="60">
        <f>LN('Price Data'!B102/'Price Data'!B101)</f>
        <v>-1.2134870096259413E-2</v>
      </c>
      <c r="C101" s="60">
        <f>LN('Price Data'!C102/'Price Data'!C101)</f>
        <v>-3.2346161504111619E-3</v>
      </c>
      <c r="D101" s="60">
        <f>LN('Price Data'!D102/'Price Data'!D101)</f>
        <v>5.7948009093694193E-3</v>
      </c>
      <c r="E101" s="60">
        <f>LN('Price Data'!E102/'Price Data'!E101)</f>
        <v>-1.5311856490841597E-2</v>
      </c>
      <c r="F101" s="60">
        <f>LN('Price Data'!F102/'Price Data'!F101)</f>
        <v>5.9285395218096502E-3</v>
      </c>
    </row>
    <row r="102" spans="1:6" x14ac:dyDescent="0.35">
      <c r="A102" s="2">
        <v>44713</v>
      </c>
      <c r="B102" s="60">
        <f>LN('Price Data'!B103/'Price Data'!B102)</f>
        <v>3.1793044284449584E-4</v>
      </c>
      <c r="C102" s="60">
        <f>LN('Price Data'!C103/'Price Data'!C102)</f>
        <v>-2.723398339288907E-3</v>
      </c>
      <c r="D102" s="60">
        <f>LN('Price Data'!D103/'Price Data'!D102)</f>
        <v>-2.6569246253950132E-4</v>
      </c>
      <c r="E102" s="60">
        <f>LN('Price Data'!E103/'Price Data'!E102)</f>
        <v>-1.6800656853312189E-2</v>
      </c>
      <c r="F102" s="60">
        <f>LN('Price Data'!F103/'Price Data'!F102)</f>
        <v>4.414199351882731E-3</v>
      </c>
    </row>
    <row r="103" spans="1:6" x14ac:dyDescent="0.35">
      <c r="A103" s="2">
        <v>44714</v>
      </c>
      <c r="B103" s="60">
        <f>LN('Price Data'!B104/'Price Data'!B103)</f>
        <v>3.3900436306960047E-2</v>
      </c>
      <c r="C103" s="60">
        <f>LN('Price Data'!C104/'Price Data'!C103)</f>
        <v>2.0005978382529911E-2</v>
      </c>
      <c r="D103" s="60">
        <f>LN('Price Data'!D104/'Price Data'!D103)</f>
        <v>-3.8604946773944451E-3</v>
      </c>
      <c r="E103" s="60">
        <f>LN('Price Data'!E104/'Price Data'!E103)</f>
        <v>1.9725807200004719E-2</v>
      </c>
      <c r="F103" s="60">
        <f>LN('Price Data'!F104/'Price Data'!F103)</f>
        <v>6.0884673605435388E-3</v>
      </c>
    </row>
    <row r="104" spans="1:6" x14ac:dyDescent="0.35">
      <c r="A104" s="2">
        <v>44715</v>
      </c>
      <c r="B104" s="60">
        <f>LN('Price Data'!B105/'Price Data'!B104)</f>
        <v>2.0061993575134534E-2</v>
      </c>
      <c r="C104" s="60">
        <f>LN('Price Data'!C105/'Price Data'!C104)</f>
        <v>4.9977155377663373E-3</v>
      </c>
      <c r="D104" s="60">
        <f>LN('Price Data'!D105/'Price Data'!D104)</f>
        <v>-7.2956382632535241E-3</v>
      </c>
      <c r="E104" s="60">
        <f>LN('Price Data'!E105/'Price Data'!E104)</f>
        <v>9.041724945756776E-3</v>
      </c>
      <c r="F104" s="60">
        <f>LN('Price Data'!F105/'Price Data'!F104)</f>
        <v>-2.9473550422823755E-3</v>
      </c>
    </row>
    <row r="105" spans="1:6" x14ac:dyDescent="0.35">
      <c r="A105" s="2">
        <v>44718</v>
      </c>
      <c r="B105" s="60">
        <f>LN('Price Data'!B106/'Price Data'!B105)</f>
        <v>-4.3130048550280107E-3</v>
      </c>
      <c r="C105" s="60">
        <f>LN('Price Data'!C106/'Price Data'!C105)</f>
        <v>-2.6778843264733897E-3</v>
      </c>
      <c r="D105" s="60">
        <f>LN('Price Data'!D106/'Price Data'!D105)</f>
        <v>3.2862777303543224E-3</v>
      </c>
      <c r="E105" s="60">
        <f>LN('Price Data'!E106/'Price Data'!E105)</f>
        <v>5.4767573008006123E-3</v>
      </c>
      <c r="F105" s="60">
        <f>LN('Price Data'!F106/'Price Data'!F105)</f>
        <v>7.681743186334097E-3</v>
      </c>
    </row>
    <row r="106" spans="1:6" x14ac:dyDescent="0.35">
      <c r="A106" s="2">
        <v>44719</v>
      </c>
      <c r="B106" s="60">
        <f>LN('Price Data'!B107/'Price Data'!B106)</f>
        <v>1.8768147383557464E-3</v>
      </c>
      <c r="C106" s="60">
        <f>LN('Price Data'!C107/'Price Data'!C106)</f>
        <v>-2.0092968046318941E-2</v>
      </c>
      <c r="D106" s="60">
        <f>LN('Price Data'!D107/'Price Data'!D106)</f>
        <v>-1.5519879662114756E-2</v>
      </c>
      <c r="E106" s="60">
        <f>LN('Price Data'!E107/'Price Data'!E106)</f>
        <v>-1.5379110558307249E-2</v>
      </c>
      <c r="F106" s="60">
        <f>LN('Price Data'!F107/'Price Data'!F106)</f>
        <v>-3.3006961422029123E-3</v>
      </c>
    </row>
    <row r="107" spans="1:6" x14ac:dyDescent="0.35">
      <c r="A107" s="2">
        <v>44720</v>
      </c>
      <c r="B107" s="60">
        <f>LN('Price Data'!B108/'Price Data'!B107)</f>
        <v>-1.7714758119947504E-2</v>
      </c>
      <c r="C107" s="60">
        <f>LN('Price Data'!C108/'Price Data'!C107)</f>
        <v>1.2251052832171826E-2</v>
      </c>
      <c r="D107" s="60">
        <f>LN('Price Data'!D108/'Price Data'!D107)</f>
        <v>-7.8512094712640968E-3</v>
      </c>
      <c r="E107" s="60">
        <f>LN('Price Data'!E108/'Price Data'!E107)</f>
        <v>-4.4617696976013699E-3</v>
      </c>
      <c r="F107" s="60">
        <f>LN('Price Data'!F108/'Price Data'!F107)</f>
        <v>-2.2137287900156545E-2</v>
      </c>
    </row>
    <row r="108" spans="1:6" x14ac:dyDescent="0.35">
      <c r="A108" s="2">
        <v>44721</v>
      </c>
      <c r="B108" s="60">
        <f>LN('Price Data'!B109/'Price Data'!B108)</f>
        <v>2.7054227446212879E-2</v>
      </c>
      <c r="C108" s="60">
        <f>LN('Price Data'!C109/'Price Data'!C108)</f>
        <v>6.7191469624005859E-3</v>
      </c>
      <c r="D108" s="60">
        <f>LN('Price Data'!D109/'Price Data'!D108)</f>
        <v>4.4452116281614761E-3</v>
      </c>
      <c r="E108" s="60">
        <f>LN('Price Data'!E109/'Price Data'!E108)</f>
        <v>9.9530523787997437E-3</v>
      </c>
      <c r="F108" s="60">
        <f>LN('Price Data'!F109/'Price Data'!F108)</f>
        <v>1.0944174974304997E-2</v>
      </c>
    </row>
    <row r="109" spans="1:6" x14ac:dyDescent="0.35">
      <c r="A109" s="2">
        <v>44722</v>
      </c>
      <c r="B109" s="60">
        <f>LN('Price Data'!B110/'Price Data'!B109)</f>
        <v>-3.065949909307867E-2</v>
      </c>
      <c r="C109" s="60">
        <f>LN('Price Data'!C110/'Price Data'!C109)</f>
        <v>-1.9803210880138016E-2</v>
      </c>
      <c r="D109" s="60">
        <f>LN('Price Data'!D110/'Price Data'!D109)</f>
        <v>-1.7553367580900866E-2</v>
      </c>
      <c r="E109" s="60">
        <f>LN('Price Data'!E110/'Price Data'!E109)</f>
        <v>-2.554062656535357E-2</v>
      </c>
      <c r="F109" s="60">
        <f>LN('Price Data'!F110/'Price Data'!F109)</f>
        <v>-2.5665360291566297E-3</v>
      </c>
    </row>
    <row r="110" spans="1:6" x14ac:dyDescent="0.35">
      <c r="A110" s="2">
        <v>44725</v>
      </c>
      <c r="B110" s="60">
        <f>LN('Price Data'!B111/'Price Data'!B110)</f>
        <v>-1.9100484400975538E-2</v>
      </c>
      <c r="C110" s="60">
        <f>LN('Price Data'!C111/'Price Data'!C110)</f>
        <v>-4.2654083390015009E-2</v>
      </c>
      <c r="D110" s="60">
        <f>LN('Price Data'!D111/'Price Data'!D110)</f>
        <v>-4.5462374076757288E-2</v>
      </c>
      <c r="E110" s="60">
        <f>LN('Price Data'!E111/'Price Data'!E110)</f>
        <v>-3.6051931406345848E-2</v>
      </c>
      <c r="F110" s="60">
        <f>LN('Price Data'!F111/'Price Data'!F110)</f>
        <v>-2.0582819835400192E-2</v>
      </c>
    </row>
    <row r="111" spans="1:6" x14ac:dyDescent="0.35">
      <c r="A111" s="2">
        <v>44726</v>
      </c>
      <c r="B111" s="60">
        <f>LN('Price Data'!B112/'Price Data'!B111)</f>
        <v>-1.315731755652088E-2</v>
      </c>
      <c r="C111" s="60">
        <f>LN('Price Data'!C112/'Price Data'!C111)</f>
        <v>-2.8148662086008359E-3</v>
      </c>
      <c r="D111" s="60">
        <f>LN('Price Data'!D112/'Price Data'!D111)</f>
        <v>-3.6403389309745309E-3</v>
      </c>
      <c r="E111" s="60">
        <f>LN('Price Data'!E112/'Price Data'!E111)</f>
        <v>1.1204048406797168E-2</v>
      </c>
      <c r="F111" s="60">
        <f>LN('Price Data'!F112/'Price Data'!F111)</f>
        <v>3.0368622208380882E-3</v>
      </c>
    </row>
    <row r="112" spans="1:6" x14ac:dyDescent="0.35">
      <c r="A112" s="2">
        <v>44727</v>
      </c>
      <c r="B112" s="60">
        <f>LN('Price Data'!B113/'Price Data'!B112)</f>
        <v>-1.2169611841528776E-2</v>
      </c>
      <c r="C112" s="60">
        <f>LN('Price Data'!C113/'Price Data'!C112)</f>
        <v>-1.3246376715815029E-3</v>
      </c>
      <c r="D112" s="60">
        <f>LN('Price Data'!D113/'Price Data'!D112)</f>
        <v>2.549628042986122E-3</v>
      </c>
      <c r="E112" s="60">
        <f>LN('Price Data'!E113/'Price Data'!E112)</f>
        <v>-1.2821994533833462E-2</v>
      </c>
      <c r="F112" s="60">
        <f>LN('Price Data'!F113/'Price Data'!F112)</f>
        <v>-7.7623006851060402E-3</v>
      </c>
    </row>
    <row r="113" spans="1:6" x14ac:dyDescent="0.35">
      <c r="A113" s="2">
        <v>44728</v>
      </c>
      <c r="B113" s="60">
        <f>LN('Price Data'!B114/'Price Data'!B113)</f>
        <v>-1.4082092060498676E-2</v>
      </c>
      <c r="C113" s="60">
        <f>LN('Price Data'!C114/'Price Data'!C113)</f>
        <v>-2.0258084523829968E-2</v>
      </c>
      <c r="D113" s="60">
        <f>LN('Price Data'!D114/'Price Data'!D113)</f>
        <v>-1.2813647770431293E-2</v>
      </c>
      <c r="E113" s="60">
        <f>LN('Price Data'!E114/'Price Data'!E113)</f>
        <v>-1.7734806380467781E-2</v>
      </c>
      <c r="F113" s="60">
        <f>LN('Price Data'!F114/'Price Data'!F113)</f>
        <v>-1.032856808118693E-2</v>
      </c>
    </row>
    <row r="114" spans="1:6" x14ac:dyDescent="0.35">
      <c r="A114" s="2">
        <v>44729</v>
      </c>
      <c r="B114" s="60">
        <f>LN('Price Data'!B115/'Price Data'!B114)</f>
        <v>1.1652411396020124E-2</v>
      </c>
      <c r="C114" s="60">
        <f>LN('Price Data'!C115/'Price Data'!C114)</f>
        <v>-1.7044499357224904E-2</v>
      </c>
      <c r="D114" s="60">
        <f>LN('Price Data'!D115/'Price Data'!D114)</f>
        <v>1.223144849629041E-2</v>
      </c>
      <c r="E114" s="60">
        <f>LN('Price Data'!E115/'Price Data'!E114)</f>
        <v>-7.1075455408804661E-3</v>
      </c>
      <c r="F114" s="60">
        <f>LN('Price Data'!F115/'Price Data'!F114)</f>
        <v>9.9465095451725487E-3</v>
      </c>
    </row>
    <row r="115" spans="1:6" x14ac:dyDescent="0.35">
      <c r="A115" s="2">
        <v>44732</v>
      </c>
      <c r="B115" s="60">
        <f>LN('Price Data'!B116/'Price Data'!B115)</f>
        <v>-1.8291962990714353E-2</v>
      </c>
      <c r="C115" s="60">
        <f>LN('Price Data'!C116/'Price Data'!C115)</f>
        <v>7.5790922844334863E-3</v>
      </c>
      <c r="D115" s="60">
        <f>LN('Price Data'!D116/'Price Data'!D115)</f>
        <v>-1.3111889990402468E-3</v>
      </c>
      <c r="E115" s="60">
        <f>LN('Price Data'!E116/'Price Data'!E115)</f>
        <v>1.9162391961174061E-2</v>
      </c>
      <c r="F115" s="60">
        <f>LN('Price Data'!F116/'Price Data'!F115)</f>
        <v>3.0142915396095121E-3</v>
      </c>
    </row>
    <row r="116" spans="1:6" x14ac:dyDescent="0.35">
      <c r="A116" s="2">
        <v>44733</v>
      </c>
      <c r="B116" s="60">
        <f>LN('Price Data'!B117/'Price Data'!B116)</f>
        <v>1.6009829057483618E-2</v>
      </c>
      <c r="C116" s="60">
        <f>LN('Price Data'!C117/'Price Data'!C116)</f>
        <v>6.8075177321511677E-3</v>
      </c>
      <c r="D116" s="60">
        <f>LN('Price Data'!D117/'Price Data'!D116)</f>
        <v>1.4688589402446857E-2</v>
      </c>
      <c r="E116" s="60">
        <f>LN('Price Data'!E117/'Price Data'!E116)</f>
        <v>2.4973207932977047E-2</v>
      </c>
      <c r="F116" s="60">
        <f>LN('Price Data'!F117/'Price Data'!F116)</f>
        <v>2.1744492857961675E-2</v>
      </c>
    </row>
    <row r="117" spans="1:6" x14ac:dyDescent="0.35">
      <c r="A117" s="2">
        <v>44734</v>
      </c>
      <c r="B117" s="60">
        <f>LN('Price Data'!B118/'Price Data'!B117)</f>
        <v>-3.0845990073765608E-2</v>
      </c>
      <c r="C117" s="60">
        <f>LN('Price Data'!C118/'Price Data'!C117)</f>
        <v>3.4182621826531305E-3</v>
      </c>
      <c r="D117" s="60">
        <f>LN('Price Data'!D118/'Price Data'!D117)</f>
        <v>-1.3741447151029148E-2</v>
      </c>
      <c r="E117" s="60">
        <f>LN('Price Data'!E118/'Price Data'!E117)</f>
        <v>-8.7636141755604979E-3</v>
      </c>
      <c r="F117" s="60">
        <f>LN('Price Data'!F118/'Price Data'!F117)</f>
        <v>-1.718313478970097E-2</v>
      </c>
    </row>
    <row r="118" spans="1:6" x14ac:dyDescent="0.35">
      <c r="A118" s="2">
        <v>44735</v>
      </c>
      <c r="B118" s="60">
        <f>LN('Price Data'!B119/'Price Data'!B118)</f>
        <v>-1.6363582456789889E-2</v>
      </c>
      <c r="C118" s="60">
        <f>LN('Price Data'!C119/'Price Data'!C118)</f>
        <v>2.6289305054124142E-2</v>
      </c>
      <c r="D118" s="60">
        <f>LN('Price Data'!D119/'Price Data'!D118)</f>
        <v>1.811343046326799E-2</v>
      </c>
      <c r="E118" s="60">
        <f>LN('Price Data'!E119/'Price Data'!E118)</f>
        <v>1.0516851703197062E-2</v>
      </c>
      <c r="F118" s="60">
        <f>LN('Price Data'!F119/'Price Data'!F118)</f>
        <v>7.2031090215177672E-4</v>
      </c>
    </row>
    <row r="119" spans="1:6" x14ac:dyDescent="0.35">
      <c r="A119" s="2">
        <v>44736</v>
      </c>
      <c r="B119" s="60">
        <f>LN('Price Data'!B120/'Price Data'!B119)</f>
        <v>1.4145486468558701E-2</v>
      </c>
      <c r="C119" s="60">
        <f>LN('Price Data'!C120/'Price Data'!C119)</f>
        <v>-4.7570490485415E-3</v>
      </c>
      <c r="D119" s="60">
        <f>LN('Price Data'!D120/'Price Data'!D119)</f>
        <v>2.0247045889724636E-2</v>
      </c>
      <c r="E119" s="60">
        <f>LN('Price Data'!E120/'Price Data'!E119)</f>
        <v>-7.8475933875500822E-3</v>
      </c>
      <c r="F119" s="60">
        <f>LN('Price Data'!F120/'Price Data'!F119)</f>
        <v>1.3255318269493345E-3</v>
      </c>
    </row>
    <row r="120" spans="1:6" x14ac:dyDescent="0.35">
      <c r="A120" s="2">
        <v>44739</v>
      </c>
      <c r="B120" s="60">
        <f>LN('Price Data'!B121/'Price Data'!B120)</f>
        <v>-2.9651353828352061E-3</v>
      </c>
      <c r="C120" s="60">
        <f>LN('Price Data'!C121/'Price Data'!C120)</f>
        <v>6.5397627731038632E-3</v>
      </c>
      <c r="D120" s="60">
        <f>LN('Price Data'!D121/'Price Data'!D120)</f>
        <v>5.4515091678147588E-3</v>
      </c>
      <c r="E120" s="60">
        <f>LN('Price Data'!E121/'Price Data'!E120)</f>
        <v>2.2985394693211238E-2</v>
      </c>
      <c r="F120" s="60">
        <f>LN('Price Data'!F121/'Price Data'!F120)</f>
        <v>1.532366798137033E-2</v>
      </c>
    </row>
    <row r="121" spans="1:6" x14ac:dyDescent="0.35">
      <c r="A121" s="2">
        <v>44740</v>
      </c>
      <c r="B121" s="60">
        <f>LN('Price Data'!B122/'Price Data'!B121)</f>
        <v>1.396316495912733E-2</v>
      </c>
      <c r="C121" s="60">
        <f>LN('Price Data'!C122/'Price Data'!C121)</f>
        <v>1.0384505768488911E-3</v>
      </c>
      <c r="D121" s="60">
        <f>LN('Price Data'!D122/'Price Data'!D121)</f>
        <v>-9.8764505406348305E-3</v>
      </c>
      <c r="E121" s="60">
        <f>LN('Price Data'!E122/'Price Data'!E121)</f>
        <v>3.7506127644163227E-3</v>
      </c>
      <c r="F121" s="60">
        <f>LN('Price Data'!F122/'Price Data'!F121)</f>
        <v>6.9826461099567194E-3</v>
      </c>
    </row>
    <row r="122" spans="1:6" x14ac:dyDescent="0.35">
      <c r="A122" s="2">
        <v>44741</v>
      </c>
      <c r="B122" s="60">
        <f>LN('Price Data'!B123/'Price Data'!B122)</f>
        <v>2.0538889254191915E-2</v>
      </c>
      <c r="C122" s="60">
        <f>LN('Price Data'!C123/'Price Data'!C122)</f>
        <v>-8.3659913120495994E-3</v>
      </c>
      <c r="D122" s="60">
        <f>LN('Price Data'!D123/'Price Data'!D122)</f>
        <v>-1.0686206217122945E-2</v>
      </c>
      <c r="E122" s="60">
        <f>LN('Price Data'!E123/'Price Data'!E122)</f>
        <v>-1.1479848646205668E-2</v>
      </c>
      <c r="F122" s="60">
        <f>LN('Price Data'!F123/'Price Data'!F122)</f>
        <v>8.0730325102402207E-3</v>
      </c>
    </row>
    <row r="123" spans="1:6" x14ac:dyDescent="0.35">
      <c r="A123" s="2">
        <v>44742</v>
      </c>
      <c r="B123" s="60">
        <f>LN('Price Data'!B124/'Price Data'!B123)</f>
        <v>5.9843971826958131E-3</v>
      </c>
      <c r="C123" s="60">
        <f>LN('Price Data'!C124/'Price Data'!C123)</f>
        <v>-7.1368920433805844E-3</v>
      </c>
      <c r="D123" s="60">
        <f>LN('Price Data'!D124/'Price Data'!D123)</f>
        <v>6.3123015367924917E-3</v>
      </c>
      <c r="E123" s="60">
        <f>LN('Price Data'!E124/'Price Data'!E123)</f>
        <v>-9.2135486928669004E-4</v>
      </c>
      <c r="F123" s="60">
        <f>LN('Price Data'!F124/'Price Data'!F123)</f>
        <v>-1.9845651496966871E-3</v>
      </c>
    </row>
    <row r="124" spans="1:6" x14ac:dyDescent="0.35">
      <c r="A124" s="2">
        <v>44743</v>
      </c>
      <c r="B124" s="60">
        <f>LN('Price Data'!B125/'Price Data'!B124)</f>
        <v>-7.4747983878639443E-2</v>
      </c>
      <c r="C124" s="60">
        <f>LN('Price Data'!C125/'Price Data'!C124)</f>
        <v>1.458502255549732E-2</v>
      </c>
      <c r="D124" s="60">
        <f>LN('Price Data'!D125/'Price Data'!D124)</f>
        <v>-4.677210709347855E-3</v>
      </c>
      <c r="E124" s="60">
        <f>LN('Price Data'!E125/'Price Data'!E124)</f>
        <v>1.1898308460448542E-2</v>
      </c>
      <c r="F124" s="60">
        <f>LN('Price Data'!F125/'Price Data'!F124)</f>
        <v>3.8890984426464478E-2</v>
      </c>
    </row>
    <row r="125" spans="1:6" x14ac:dyDescent="0.35">
      <c r="A125" s="2">
        <v>44746</v>
      </c>
      <c r="B125" s="60">
        <f>LN('Price Data'!B126/'Price Data'!B125)</f>
        <v>2.0739787153937106E-3</v>
      </c>
      <c r="C125" s="60">
        <f>LN('Price Data'!C126/'Price Data'!C125)</f>
        <v>-2.4443748899149749E-2</v>
      </c>
      <c r="D125" s="60">
        <f>LN('Price Data'!D126/'Price Data'!D125)</f>
        <v>2.2753790640735259E-2</v>
      </c>
      <c r="E125" s="60">
        <f>LN('Price Data'!E126/'Price Data'!E125)</f>
        <v>5.7951137690292129E-3</v>
      </c>
      <c r="F125" s="60">
        <f>LN('Price Data'!F126/'Price Data'!F125)</f>
        <v>2.6192306076821326E-2</v>
      </c>
    </row>
    <row r="126" spans="1:6" x14ac:dyDescent="0.35">
      <c r="A126" s="2">
        <v>44747</v>
      </c>
      <c r="B126" s="60">
        <f>LN('Price Data'!B127/'Price Data'!B126)</f>
        <v>8.0630569958754922E-3</v>
      </c>
      <c r="C126" s="60">
        <f>LN('Price Data'!C127/'Price Data'!C126)</f>
        <v>-5.8117991206897823E-3</v>
      </c>
      <c r="D126" s="60">
        <f>LN('Price Data'!D127/'Price Data'!D126)</f>
        <v>-9.0306004539454643E-4</v>
      </c>
      <c r="E126" s="60">
        <f>LN('Price Data'!E127/'Price Data'!E126)</f>
        <v>-8.1294088751691709E-3</v>
      </c>
      <c r="F126" s="60">
        <f>LN('Price Data'!F127/'Price Data'!F126)</f>
        <v>-1.7279873679549775E-2</v>
      </c>
    </row>
    <row r="127" spans="1:6" x14ac:dyDescent="0.35">
      <c r="A127" s="2">
        <v>44748</v>
      </c>
      <c r="B127" s="60">
        <f>LN('Price Data'!B128/'Price Data'!B127)</f>
        <v>-8.8300192240615416E-3</v>
      </c>
      <c r="C127" s="60">
        <f>LN('Price Data'!C128/'Price Data'!C127)</f>
        <v>1.3723514922663421E-2</v>
      </c>
      <c r="D127" s="60">
        <f>LN('Price Data'!D128/'Price Data'!D127)</f>
        <v>8.9941107202702042E-3</v>
      </c>
      <c r="E127" s="60">
        <f>LN('Price Data'!E128/'Price Data'!E127)</f>
        <v>1.0579670820962558E-2</v>
      </c>
      <c r="F127" s="60">
        <f>LN('Price Data'!F128/'Price Data'!F127)</f>
        <v>8.3469148938213784E-3</v>
      </c>
    </row>
    <row r="128" spans="1:6" x14ac:dyDescent="0.35">
      <c r="A128" s="2">
        <v>44749</v>
      </c>
      <c r="B128" s="60">
        <f>LN('Price Data'!B129/'Price Data'!B128)</f>
        <v>-9.8952543198355877E-3</v>
      </c>
      <c r="C128" s="60">
        <f>LN('Price Data'!C129/'Price Data'!C128)</f>
        <v>8.2767987816693769E-3</v>
      </c>
      <c r="D128" s="60">
        <f>LN('Price Data'!D129/'Price Data'!D128)</f>
        <v>2.1868101237683582E-2</v>
      </c>
      <c r="E128" s="60">
        <f>LN('Price Data'!E129/'Price Data'!E128)</f>
        <v>4.7148483724391548E-3</v>
      </c>
      <c r="F128" s="60">
        <f>LN('Price Data'!F129/'Price Data'!F128)</f>
        <v>9.1052923550107231E-3</v>
      </c>
    </row>
    <row r="129" spans="1:6" x14ac:dyDescent="0.35">
      <c r="A129" s="2">
        <v>44750</v>
      </c>
      <c r="B129" s="60">
        <f>LN('Price Data'!B130/'Price Data'!B129)</f>
        <v>1.382769076684882E-3</v>
      </c>
      <c r="C129" s="60">
        <f>LN('Price Data'!C130/'Price Data'!C129)</f>
        <v>-6.8350186405023118E-3</v>
      </c>
      <c r="D129" s="60">
        <f>LN('Price Data'!D130/'Price Data'!D129)</f>
        <v>1.8295228859293723E-2</v>
      </c>
      <c r="E129" s="60">
        <f>LN('Price Data'!E130/'Price Data'!E129)</f>
        <v>1.0453126627390801E-2</v>
      </c>
      <c r="F129" s="60">
        <f>LN('Price Data'!F130/'Price Data'!F129)</f>
        <v>3.7838440797871649E-3</v>
      </c>
    </row>
    <row r="130" spans="1:6" x14ac:dyDescent="0.35">
      <c r="A130" s="2">
        <v>44753</v>
      </c>
      <c r="B130" s="60">
        <f>LN('Price Data'!B131/'Price Data'!B130)</f>
        <v>1.3496345879733838E-2</v>
      </c>
      <c r="C130" s="60">
        <f>LN('Price Data'!C131/'Price Data'!C130)</f>
        <v>-4.7555781035574445E-2</v>
      </c>
      <c r="D130" s="60">
        <f>LN('Price Data'!D131/'Price Data'!D130)</f>
        <v>1.8096481252259718E-2</v>
      </c>
      <c r="E130" s="60">
        <f>LN('Price Data'!E131/'Price Data'!E130)</f>
        <v>-2.7650414274246228E-2</v>
      </c>
      <c r="F130" s="60">
        <f>LN('Price Data'!F131/'Price Data'!F130)</f>
        <v>6.604523964419848E-3</v>
      </c>
    </row>
    <row r="131" spans="1:6" x14ac:dyDescent="0.35">
      <c r="A131" s="2">
        <v>44754</v>
      </c>
      <c r="B131" s="60">
        <f>LN('Price Data'!B132/'Price Data'!B131)</f>
        <v>-1.4279285187895146E-3</v>
      </c>
      <c r="C131" s="60">
        <f>LN('Price Data'!C132/'Price Data'!C131)</f>
        <v>-9.3892124281952042E-3</v>
      </c>
      <c r="D131" s="60">
        <f>LN('Price Data'!D132/'Price Data'!D131)</f>
        <v>-1.2554107603194664E-2</v>
      </c>
      <c r="E131" s="60">
        <f>LN('Price Data'!E132/'Price Data'!E131)</f>
        <v>-2.3728158957701931E-2</v>
      </c>
      <c r="F131" s="60">
        <f>LN('Price Data'!F132/'Price Data'!F131)</f>
        <v>-7.8069220342894298E-3</v>
      </c>
    </row>
    <row r="132" spans="1:6" x14ac:dyDescent="0.35">
      <c r="A132" s="2">
        <v>44755</v>
      </c>
      <c r="B132" s="60">
        <f>LN('Price Data'!B133/'Price Data'!B132)</f>
        <v>-1.7879674632128899E-2</v>
      </c>
      <c r="C132" s="60">
        <f>LN('Price Data'!C133/'Price Data'!C132)</f>
        <v>-1.5008173986997608E-2</v>
      </c>
      <c r="D132" s="60">
        <f>LN('Price Data'!D133/'Price Data'!D132)</f>
        <v>-8.8560488927418128E-3</v>
      </c>
      <c r="E132" s="60">
        <f>LN('Price Data'!E133/'Price Data'!E132)</f>
        <v>4.0531781505466864E-3</v>
      </c>
      <c r="F132" s="60">
        <f>LN('Price Data'!F133/'Price Data'!F132)</f>
        <v>4.5956593676131459E-3</v>
      </c>
    </row>
    <row r="133" spans="1:6" x14ac:dyDescent="0.35">
      <c r="A133" s="2">
        <v>44756</v>
      </c>
      <c r="B133" s="60">
        <f>LN('Price Data'!B134/'Price Data'!B133)</f>
        <v>8.212726909478019E-3</v>
      </c>
      <c r="C133" s="60">
        <f>LN('Price Data'!C134/'Price Data'!C133)</f>
        <v>-1.3249004567915234E-2</v>
      </c>
      <c r="D133" s="60">
        <f>LN('Price Data'!D134/'Price Data'!D133)</f>
        <v>-1.0626993561221232E-3</v>
      </c>
      <c r="E133" s="60">
        <f>LN('Price Data'!E134/'Price Data'!E133)</f>
        <v>-1.0856927505970171E-2</v>
      </c>
      <c r="F133" s="60">
        <f>LN('Price Data'!F134/'Price Data'!F133)</f>
        <v>-1.094072703607782E-2</v>
      </c>
    </row>
    <row r="134" spans="1:6" x14ac:dyDescent="0.35">
      <c r="A134" s="2">
        <v>44757</v>
      </c>
      <c r="B134" s="60">
        <f>LN('Price Data'!B135/'Price Data'!B134)</f>
        <v>1.9372111145064513E-3</v>
      </c>
      <c r="C134" s="60">
        <f>LN('Price Data'!C135/'Price Data'!C134)</f>
        <v>-1.3852620616614719E-3</v>
      </c>
      <c r="D134" s="60">
        <f>LN('Price Data'!D135/'Price Data'!D134)</f>
        <v>-1.5961695328221036E-3</v>
      </c>
      <c r="E134" s="60">
        <f>LN('Price Data'!E135/'Price Data'!E134)</f>
        <v>1.0481259554691066E-3</v>
      </c>
      <c r="F134" s="60">
        <f>LN('Price Data'!F135/'Price Data'!F134)</f>
        <v>9.2283978505653882E-3</v>
      </c>
    </row>
    <row r="135" spans="1:6" x14ac:dyDescent="0.35">
      <c r="A135" s="2">
        <v>44760</v>
      </c>
      <c r="B135" s="60">
        <f>LN('Price Data'!B136/'Price Data'!B135)</f>
        <v>8.475788029311938E-3</v>
      </c>
      <c r="C135" s="60">
        <f>LN('Price Data'!C136/'Price Data'!C135)</f>
        <v>2.2747172280552962E-2</v>
      </c>
      <c r="D135" s="60">
        <f>LN('Price Data'!D136/'Price Data'!D135)</f>
        <v>2.7312622130723007E-2</v>
      </c>
      <c r="E135" s="60">
        <f>LN('Price Data'!E136/'Price Data'!E135)</f>
        <v>4.0792465072010849E-2</v>
      </c>
      <c r="F135" s="60">
        <f>LN('Price Data'!F136/'Price Data'!F135)</f>
        <v>5.9462959707819217E-3</v>
      </c>
    </row>
    <row r="136" spans="1:6" x14ac:dyDescent="0.35">
      <c r="A136" s="2">
        <v>44761</v>
      </c>
      <c r="B136" s="60">
        <f>LN('Price Data'!B137/'Price Data'!B136)</f>
        <v>6.1111805025717775E-3</v>
      </c>
      <c r="C136" s="60">
        <f>LN('Price Data'!C137/'Price Data'!C136)</f>
        <v>3.5035898334268701E-3</v>
      </c>
      <c r="D136" s="60">
        <f>LN('Price Data'!D137/'Price Data'!D136)</f>
        <v>1.1142355962753064E-2</v>
      </c>
      <c r="E136" s="60">
        <f>LN('Price Data'!E137/'Price Data'!E136)</f>
        <v>-3.8682936468720937E-3</v>
      </c>
      <c r="F136" s="60">
        <f>LN('Price Data'!F137/'Price Data'!F136)</f>
        <v>-2.3537850502906468E-3</v>
      </c>
    </row>
    <row r="137" spans="1:6" x14ac:dyDescent="0.35">
      <c r="A137" s="2">
        <v>44762</v>
      </c>
      <c r="B137" s="60">
        <f>LN('Price Data'!B138/'Price Data'!B137)</f>
        <v>2.6686563562153053E-2</v>
      </c>
      <c r="C137" s="60">
        <f>LN('Price Data'!C138/'Price Data'!C137)</f>
        <v>2.9027926165065835E-2</v>
      </c>
      <c r="D137" s="60">
        <f>LN('Price Data'!D138/'Price Data'!D137)</f>
        <v>3.1334957693628764E-3</v>
      </c>
      <c r="E137" s="60">
        <f>LN('Price Data'!E138/'Price Data'!E137)</f>
        <v>2.0774290001323675E-2</v>
      </c>
      <c r="F137" s="60">
        <f>LN('Price Data'!F138/'Price Data'!F137)</f>
        <v>1.2118891637335708E-2</v>
      </c>
    </row>
    <row r="138" spans="1:6" x14ac:dyDescent="0.35">
      <c r="A138" s="2">
        <v>44763</v>
      </c>
      <c r="B138" s="60">
        <f>LN('Price Data'!B139/'Price Data'!B138)</f>
        <v>-6.702633281873093E-3</v>
      </c>
      <c r="C138" s="60">
        <f>LN('Price Data'!C139/'Price Data'!C138)</f>
        <v>3.9402007498956027E-3</v>
      </c>
      <c r="D138" s="60">
        <f>LN('Price Data'!D139/'Price Data'!D138)</f>
        <v>3.6963906723145763E-3</v>
      </c>
      <c r="E138" s="60">
        <f>LN('Price Data'!E139/'Price Data'!E138)</f>
        <v>1.1547015257954173E-2</v>
      </c>
      <c r="F138" s="60">
        <f>LN('Price Data'!F139/'Price Data'!F138)</f>
        <v>4.5447737672177635E-3</v>
      </c>
    </row>
    <row r="139" spans="1:6" x14ac:dyDescent="0.35">
      <c r="A139" s="2">
        <v>44764</v>
      </c>
      <c r="B139" s="60">
        <f>LN('Price Data'!B140/'Price Data'!B139)</f>
        <v>6.7378380415602165E-3</v>
      </c>
      <c r="C139" s="60">
        <f>LN('Price Data'!C140/'Price Data'!C139)</f>
        <v>-1.9827052652829384E-3</v>
      </c>
      <c r="D139" s="60">
        <f>LN('Price Data'!D140/'Price Data'!D139)</f>
        <v>1.7717433285677087E-2</v>
      </c>
      <c r="E139" s="60">
        <f>LN('Price Data'!E140/'Price Data'!E139)</f>
        <v>-1.7504425868877894E-2</v>
      </c>
      <c r="F139" s="60">
        <f>LN('Price Data'!F140/'Price Data'!F139)</f>
        <v>3.3197555763924283E-3</v>
      </c>
    </row>
    <row r="140" spans="1:6" x14ac:dyDescent="0.35">
      <c r="A140" s="2">
        <v>44767</v>
      </c>
      <c r="B140" s="60">
        <f>LN('Price Data'!B141/'Price Data'!B140)</f>
        <v>-3.3597203576789719E-2</v>
      </c>
      <c r="C140" s="60">
        <f>LN('Price Data'!C141/'Price Data'!C140)</f>
        <v>-1.3423320098075995E-3</v>
      </c>
      <c r="D140" s="60">
        <f>LN('Price Data'!D141/'Price Data'!D140)</f>
        <v>1.0618696147529233E-3</v>
      </c>
      <c r="E140" s="60">
        <f>LN('Price Data'!E141/'Price Data'!E140)</f>
        <v>-1.7975100311669555E-3</v>
      </c>
      <c r="F140" s="60">
        <f>LN('Price Data'!F141/'Price Data'!F140)</f>
        <v>1.8395576871706692E-3</v>
      </c>
    </row>
    <row r="141" spans="1:6" x14ac:dyDescent="0.35">
      <c r="A141" s="2">
        <v>44768</v>
      </c>
      <c r="B141" s="60">
        <f>LN('Price Data'!B142/'Price Data'!B141)</f>
        <v>4.5498390141893028E-4</v>
      </c>
      <c r="C141" s="60">
        <f>LN('Price Data'!C142/'Price Data'!C141)</f>
        <v>-1.6187618034092612E-2</v>
      </c>
      <c r="D141" s="60">
        <f>LN('Price Data'!D142/'Price Data'!D141)</f>
        <v>-5.7600960662374566E-3</v>
      </c>
      <c r="E141" s="60">
        <f>LN('Price Data'!E142/'Price Data'!E141)</f>
        <v>-3.5501773042924976E-2</v>
      </c>
      <c r="F141" s="60">
        <f>LN('Price Data'!F142/'Price Data'!F141)</f>
        <v>4.4677165636009377E-3</v>
      </c>
    </row>
    <row r="142" spans="1:6" x14ac:dyDescent="0.35">
      <c r="A142" s="2">
        <v>44769</v>
      </c>
      <c r="B142" s="60">
        <f>LN('Price Data'!B143/'Price Data'!B142)</f>
        <v>-9.4659914046763666E-4</v>
      </c>
      <c r="C142" s="60">
        <f>LN('Price Data'!C143/'Price Data'!C142)</f>
        <v>2.3141722063310208E-2</v>
      </c>
      <c r="D142" s="60">
        <f>LN('Price Data'!D143/'Price Data'!D142)</f>
        <v>5.260533173370178E-3</v>
      </c>
      <c r="E142" s="60">
        <f>LN('Price Data'!E143/'Price Data'!E142)</f>
        <v>1.3621103764716867E-2</v>
      </c>
      <c r="F142" s="60">
        <f>LN('Price Data'!F143/'Price Data'!F142)</f>
        <v>5.6063441972619369E-3</v>
      </c>
    </row>
    <row r="143" spans="1:6" x14ac:dyDescent="0.35">
      <c r="A143" s="2">
        <v>44770</v>
      </c>
      <c r="B143" s="60">
        <f>LN('Price Data'!B144/'Price Data'!B143)</f>
        <v>1.5541311222029303E-2</v>
      </c>
      <c r="C143" s="60">
        <f>LN('Price Data'!C144/'Price Data'!C143)</f>
        <v>2.2222253741317484E-2</v>
      </c>
      <c r="D143" s="60">
        <f>LN('Price Data'!D144/'Price Data'!D143)</f>
        <v>1.7460662777542862E-2</v>
      </c>
      <c r="E143" s="60">
        <f>LN('Price Data'!E144/'Price Data'!E143)</f>
        <v>3.10216650632072E-2</v>
      </c>
      <c r="F143" s="60">
        <f>LN('Price Data'!F144/'Price Data'!F143)</f>
        <v>-2.318342430697666E-3</v>
      </c>
    </row>
    <row r="144" spans="1:6" x14ac:dyDescent="0.35">
      <c r="A144" s="2">
        <v>44771</v>
      </c>
      <c r="B144" s="60">
        <f>LN('Price Data'!B145/'Price Data'!B144)</f>
        <v>2.107899874504544E-2</v>
      </c>
      <c r="C144" s="60">
        <f>LN('Price Data'!C145/'Price Data'!C144)</f>
        <v>1.2617212416876449E-2</v>
      </c>
      <c r="D144" s="60">
        <f>LN('Price Data'!D145/'Price Data'!D144)</f>
        <v>4.8983688439904142E-3</v>
      </c>
      <c r="E144" s="60">
        <f>LN('Price Data'!E145/'Price Data'!E144)</f>
        <v>2.1063626301623027E-2</v>
      </c>
      <c r="F144" s="60">
        <f>LN('Price Data'!F145/'Price Data'!F144)</f>
        <v>-1.3271842420581226E-3</v>
      </c>
    </row>
    <row r="145" spans="1:6" x14ac:dyDescent="0.35">
      <c r="A145" s="2">
        <v>44774</v>
      </c>
      <c r="B145" s="60">
        <f>LN('Price Data'!B146/'Price Data'!B145)</f>
        <v>2.5730325708653492E-2</v>
      </c>
      <c r="C145" s="60">
        <f>LN('Price Data'!C146/'Price Data'!C145)</f>
        <v>-9.4102162131936835E-4</v>
      </c>
      <c r="D145" s="60">
        <f>LN('Price Data'!D146/'Price Data'!D145)</f>
        <v>5.8465452775015529E-3</v>
      </c>
      <c r="E145" s="60">
        <f>LN('Price Data'!E146/'Price Data'!E145)</f>
        <v>8.69176088811866E-4</v>
      </c>
      <c r="F145" s="60">
        <f>LN('Price Data'!F146/'Price Data'!F145)</f>
        <v>1.4601205333730976E-2</v>
      </c>
    </row>
    <row r="146" spans="1:6" x14ac:dyDescent="0.35">
      <c r="A146" s="2">
        <v>44775</v>
      </c>
      <c r="B146" s="60">
        <f>LN('Price Data'!B147/'Price Data'!B146)</f>
        <v>3.800094238037306E-3</v>
      </c>
      <c r="C146" s="60">
        <f>LN('Price Data'!C147/'Price Data'!C146)</f>
        <v>-2.1244341149695661E-3</v>
      </c>
      <c r="D146" s="60">
        <f>LN('Price Data'!D147/'Price Data'!D146)</f>
        <v>-6.8854429173109515E-3</v>
      </c>
      <c r="E146" s="60">
        <f>LN('Price Data'!E147/'Price Data'!E146)</f>
        <v>-4.8159037091665552E-3</v>
      </c>
      <c r="F146" s="60">
        <f>LN('Price Data'!F147/'Price Data'!F146)</f>
        <v>7.9196072834686135E-3</v>
      </c>
    </row>
    <row r="147" spans="1:6" x14ac:dyDescent="0.35">
      <c r="A147" s="2">
        <v>44776</v>
      </c>
      <c r="B147" s="60">
        <f>LN('Price Data'!B148/'Price Data'!B147)</f>
        <v>8.3604365850898851E-3</v>
      </c>
      <c r="C147" s="60">
        <f>LN('Price Data'!C148/'Price Data'!C147)</f>
        <v>1.4387402986249518E-2</v>
      </c>
      <c r="D147" s="60">
        <f>LN('Price Data'!D148/'Price Data'!D147)</f>
        <v>8.5842662842568421E-3</v>
      </c>
      <c r="E147" s="60">
        <f>LN('Price Data'!E148/'Price Data'!E147)</f>
        <v>1.4468587958592445E-2</v>
      </c>
      <c r="F147" s="60">
        <f>LN('Price Data'!F148/'Price Data'!F147)</f>
        <v>-5.8276930735181509E-3</v>
      </c>
    </row>
    <row r="148" spans="1:6" x14ac:dyDescent="0.35">
      <c r="A148" s="2">
        <v>44777</v>
      </c>
      <c r="B148" s="60">
        <f>LN('Price Data'!B149/'Price Data'!B148)</f>
        <v>-1.3307663545464414E-2</v>
      </c>
      <c r="C148" s="60">
        <f>LN('Price Data'!C149/'Price Data'!C148)</f>
        <v>4.6177860379847686E-3</v>
      </c>
      <c r="D148" s="60">
        <f>LN('Price Data'!D149/'Price Data'!D148)</f>
        <v>-5.5317608615390694E-3</v>
      </c>
      <c r="E148" s="60">
        <f>LN('Price Data'!E149/'Price Data'!E148)</f>
        <v>2.135235572454465E-2</v>
      </c>
      <c r="F148" s="60">
        <f>LN('Price Data'!F149/'Price Data'!F148)</f>
        <v>4.3983324689226676E-3</v>
      </c>
    </row>
    <row r="149" spans="1:6" x14ac:dyDescent="0.35">
      <c r="A149" s="2">
        <v>44778</v>
      </c>
      <c r="B149" s="60">
        <f>LN('Price Data'!B150/'Price Data'!B149)</f>
        <v>-1.4842444954139559E-2</v>
      </c>
      <c r="C149" s="60">
        <f>LN('Price Data'!C150/'Price Data'!C149)</f>
        <v>3.004787037356601E-3</v>
      </c>
      <c r="D149" s="60">
        <f>LN('Price Data'!D150/'Price Data'!D149)</f>
        <v>2.1647563649760272E-2</v>
      </c>
      <c r="E149" s="60">
        <f>LN('Price Data'!E150/'Price Data'!E149)</f>
        <v>1.0417412218838774E-2</v>
      </c>
      <c r="F149" s="60">
        <f>LN('Price Data'!F150/'Price Data'!F149)</f>
        <v>4.3467046510042729E-3</v>
      </c>
    </row>
    <row r="150" spans="1:6" x14ac:dyDescent="0.35">
      <c r="A150" s="2">
        <v>44781</v>
      </c>
      <c r="B150" s="60">
        <f>LN('Price Data'!B151/'Price Data'!B150)</f>
        <v>1.2999142263547557E-2</v>
      </c>
      <c r="C150" s="60">
        <f>LN('Price Data'!C151/'Price Data'!C150)</f>
        <v>2.7892578495914014E-3</v>
      </c>
      <c r="D150" s="60">
        <f>LN('Price Data'!D151/'Price Data'!D150)</f>
        <v>-1.4924039423421225E-3</v>
      </c>
      <c r="E150" s="60">
        <f>LN('Price Data'!E151/'Price Data'!E150)</f>
        <v>1.6967538899263972E-3</v>
      </c>
      <c r="F150" s="60">
        <f>LN('Price Data'!F151/'Price Data'!F150)</f>
        <v>7.3527371792451281E-3</v>
      </c>
    </row>
    <row r="151" spans="1:6" x14ac:dyDescent="0.35">
      <c r="A151" s="2">
        <v>44783</v>
      </c>
      <c r="B151" s="60">
        <f>LN('Price Data'!B152/'Price Data'!B151)</f>
        <v>5.9548940076748552E-3</v>
      </c>
      <c r="C151" s="60">
        <f>LN('Price Data'!C152/'Price Data'!C151)</f>
        <v>-6.0048712813602252E-3</v>
      </c>
      <c r="D151" s="60">
        <f>LN('Price Data'!D152/'Price Data'!D151)</f>
        <v>1.400034732427689E-2</v>
      </c>
      <c r="E151" s="60">
        <f>LN('Price Data'!E152/'Price Data'!E151)</f>
        <v>-1.0518888795191127E-2</v>
      </c>
      <c r="F151" s="60">
        <f>LN('Price Data'!F152/'Price Data'!F151)</f>
        <v>-6.2205089952097467E-3</v>
      </c>
    </row>
    <row r="152" spans="1:6" x14ac:dyDescent="0.35">
      <c r="A152" s="2">
        <v>44784</v>
      </c>
      <c r="B152" s="60">
        <f>LN('Price Data'!B153/'Price Data'!B152)</f>
        <v>3.3298589391526829E-3</v>
      </c>
      <c r="C152" s="60">
        <f>LN('Price Data'!C153/'Price Data'!C152)</f>
        <v>2.014415691425369E-2</v>
      </c>
      <c r="D152" s="60">
        <f>LN('Price Data'!D153/'Price Data'!D152)</f>
        <v>1.2818812307492641E-2</v>
      </c>
      <c r="E152" s="60">
        <f>LN('Price Data'!E153/'Price Data'!E152)</f>
        <v>1.0860377502994588E-2</v>
      </c>
      <c r="F152" s="60">
        <f>LN('Price Data'!F153/'Price Data'!F152)</f>
        <v>-1.6034758884370375E-2</v>
      </c>
    </row>
    <row r="153" spans="1:6" x14ac:dyDescent="0.35">
      <c r="A153" s="2">
        <v>44785</v>
      </c>
      <c r="B153" s="60">
        <f>LN('Price Data'!B154/'Price Data'!B153)</f>
        <v>1.6041636408164823E-2</v>
      </c>
      <c r="C153" s="60">
        <f>LN('Price Data'!C154/'Price Data'!C153)</f>
        <v>-6.1402594943533199E-3</v>
      </c>
      <c r="D153" s="60">
        <f>LN('Price Data'!D154/'Price Data'!D153)</f>
        <v>1.6954445681930379E-2</v>
      </c>
      <c r="E153" s="60">
        <f>LN('Price Data'!E154/'Price Data'!E153)</f>
        <v>-1.6082748620156184E-2</v>
      </c>
      <c r="F153" s="60">
        <f>LN('Price Data'!F154/'Price Data'!F153)</f>
        <v>7.4627212015895943E-3</v>
      </c>
    </row>
    <row r="154" spans="1:6" x14ac:dyDescent="0.35">
      <c r="A154" s="2">
        <v>44789</v>
      </c>
      <c r="B154" s="60">
        <f>LN('Price Data'!B155/'Price Data'!B154)</f>
        <v>6.920442844573757E-3</v>
      </c>
      <c r="C154" s="60">
        <f>LN('Price Data'!C155/'Price Data'!C154)</f>
        <v>-2.6068710604161692E-3</v>
      </c>
      <c r="D154" s="60">
        <f>LN('Price Data'!D155/'Price Data'!D154)</f>
        <v>5.5313344917629851E-3</v>
      </c>
      <c r="E154" s="60">
        <f>LN('Price Data'!E155/'Price Data'!E154)</f>
        <v>1.4687946864231291E-3</v>
      </c>
      <c r="F154" s="60">
        <f>LN('Price Data'!F155/'Price Data'!F154)</f>
        <v>6.4683068316615661E-3</v>
      </c>
    </row>
    <row r="155" spans="1:6" x14ac:dyDescent="0.35">
      <c r="A155" s="2">
        <v>44790</v>
      </c>
      <c r="B155" s="60">
        <f>LN('Price Data'!B156/'Price Data'!B155)</f>
        <v>5.2128125864624782E-3</v>
      </c>
      <c r="C155" s="60">
        <f>LN('Price Data'!C156/'Price Data'!C155)</f>
        <v>2.474277838146403E-3</v>
      </c>
      <c r="D155" s="60">
        <f>LN('Price Data'!D156/'Price Data'!D155)</f>
        <v>4.5390148851628025E-3</v>
      </c>
      <c r="E155" s="60">
        <f>LN('Price Data'!E156/'Price Data'!E155)</f>
        <v>6.122948715605858E-3</v>
      </c>
      <c r="F155" s="60">
        <f>LN('Price Data'!F156/'Price Data'!F155)</f>
        <v>6.4267365835070003E-3</v>
      </c>
    </row>
    <row r="156" spans="1:6" x14ac:dyDescent="0.35">
      <c r="A156" s="2">
        <v>44791</v>
      </c>
      <c r="B156" s="60">
        <f>LN('Price Data'!B157/'Price Data'!B156)</f>
        <v>-1.4475792802568386E-3</v>
      </c>
      <c r="C156" s="60">
        <f>LN('Price Data'!C157/'Price Data'!C156)</f>
        <v>-5.8546070753281963E-3</v>
      </c>
      <c r="D156" s="60">
        <f>LN('Price Data'!D157/'Price Data'!D156)</f>
        <v>2.0923467355767351E-3</v>
      </c>
      <c r="E156" s="60">
        <f>LN('Price Data'!E157/'Price Data'!E156)</f>
        <v>-1.4612425875477742E-2</v>
      </c>
      <c r="F156" s="60">
        <f>LN('Price Data'!F157/'Price Data'!F156)</f>
        <v>9.866182921053979E-3</v>
      </c>
    </row>
    <row r="157" spans="1:6" x14ac:dyDescent="0.35">
      <c r="A157" s="2">
        <v>44792</v>
      </c>
      <c r="B157" s="60">
        <f>LN('Price Data'!B158/'Price Data'!B157)</f>
        <v>-1.7991414653513917E-2</v>
      </c>
      <c r="C157" s="60">
        <f>LN('Price Data'!C158/'Price Data'!C157)</f>
        <v>1.3298901544263589E-3</v>
      </c>
      <c r="D157" s="60">
        <f>LN('Price Data'!D158/'Price Data'!D157)</f>
        <v>-1.674775687315316E-2</v>
      </c>
      <c r="E157" s="60">
        <f>LN('Price Data'!E158/'Price Data'!E157)</f>
        <v>8.8988421774760205E-3</v>
      </c>
      <c r="F157" s="60">
        <f>LN('Price Data'!F158/'Price Data'!F157)</f>
        <v>-1.1638290420074181E-2</v>
      </c>
    </row>
    <row r="158" spans="1:6" x14ac:dyDescent="0.35">
      <c r="A158" s="2">
        <v>44795</v>
      </c>
      <c r="B158" s="60">
        <f>LN('Price Data'!B159/'Price Data'!B158)</f>
        <v>-2.7767128584185383E-3</v>
      </c>
      <c r="C158" s="60">
        <f>LN('Price Data'!C159/'Price Data'!C158)</f>
        <v>-9.2579736671481016E-3</v>
      </c>
      <c r="D158" s="60">
        <f>LN('Price Data'!D159/'Price Data'!D158)</f>
        <v>-2.1072965083665723E-2</v>
      </c>
      <c r="E158" s="60">
        <f>LN('Price Data'!E159/'Price Data'!E158)</f>
        <v>-1.3521729203170126E-2</v>
      </c>
      <c r="F158" s="60">
        <f>LN('Price Data'!F159/'Price Data'!F158)</f>
        <v>7.6778892039772615E-3</v>
      </c>
    </row>
    <row r="159" spans="1:6" x14ac:dyDescent="0.35">
      <c r="A159" s="2">
        <v>44796</v>
      </c>
      <c r="B159" s="60">
        <f>LN('Price Data'!B160/'Price Data'!B159)</f>
        <v>1.530639988625739E-2</v>
      </c>
      <c r="C159" s="60">
        <f>LN('Price Data'!C160/'Price Data'!C159)</f>
        <v>-2.107122230826913E-2</v>
      </c>
      <c r="D159" s="60">
        <f>LN('Price Data'!D160/'Price Data'!D159)</f>
        <v>1.3577110346825943E-2</v>
      </c>
      <c r="E159" s="60">
        <f>LN('Price Data'!E160/'Price Data'!E159)</f>
        <v>-2.132585061001431E-2</v>
      </c>
      <c r="F159" s="60">
        <f>LN('Price Data'!F160/'Price Data'!F159)</f>
        <v>4.7569728142403339E-3</v>
      </c>
    </row>
    <row r="160" spans="1:6" x14ac:dyDescent="0.35">
      <c r="A160" s="2">
        <v>44797</v>
      </c>
      <c r="B160" s="60">
        <f>LN('Price Data'!B161/'Price Data'!B160)</f>
        <v>-2.6669793948801766E-3</v>
      </c>
      <c r="C160" s="60">
        <f>LN('Price Data'!C161/'Price Data'!C160)</f>
        <v>-8.9460109459096465E-3</v>
      </c>
      <c r="D160" s="60">
        <f>LN('Price Data'!D161/'Price Data'!D160)</f>
        <v>1.0822118054848815E-2</v>
      </c>
      <c r="E160" s="60">
        <f>LN('Price Data'!E161/'Price Data'!E160)</f>
        <v>-3.1867957905405892E-3</v>
      </c>
      <c r="F160" s="60">
        <f>LN('Price Data'!F161/'Price Data'!F160)</f>
        <v>-5.7174954123420168E-3</v>
      </c>
    </row>
    <row r="161" spans="1:6" x14ac:dyDescent="0.35">
      <c r="A161" s="2">
        <v>44798</v>
      </c>
      <c r="B161" s="60">
        <f>LN('Price Data'!B162/'Price Data'!B161)</f>
        <v>-2.9168062868743629E-3</v>
      </c>
      <c r="C161" s="60">
        <f>LN('Price Data'!C162/'Price Data'!C161)</f>
        <v>-1.1476179506906126E-2</v>
      </c>
      <c r="D161" s="60">
        <f>LN('Price Data'!D162/'Price Data'!D161)</f>
        <v>-1.0884198937763725E-3</v>
      </c>
      <c r="E161" s="60">
        <f>LN('Price Data'!E162/'Price Data'!E161)</f>
        <v>-1.2664229392106251E-2</v>
      </c>
      <c r="F161" s="60">
        <f>LN('Price Data'!F162/'Price Data'!F161)</f>
        <v>-5.5892985443290934E-3</v>
      </c>
    </row>
    <row r="162" spans="1:6" x14ac:dyDescent="0.35">
      <c r="A162" s="2">
        <v>44799</v>
      </c>
      <c r="B162" s="60">
        <f>LN('Price Data'!B163/'Price Data'!B162)</f>
        <v>-5.3542483440469782E-3</v>
      </c>
      <c r="C162" s="60">
        <f>LN('Price Data'!C163/'Price Data'!C162)</f>
        <v>1.2413623475172443E-3</v>
      </c>
      <c r="D162" s="60">
        <f>LN('Price Data'!D163/'Price Data'!D162)</f>
        <v>-1.7209733481167921E-3</v>
      </c>
      <c r="E162" s="60">
        <f>LN('Price Data'!E163/'Price Data'!E162)</f>
        <v>2.2364416830235436E-3</v>
      </c>
      <c r="F162" s="60">
        <f>LN('Price Data'!F163/'Price Data'!F162)</f>
        <v>1.7379554437321981E-3</v>
      </c>
    </row>
    <row r="163" spans="1:6" x14ac:dyDescent="0.35">
      <c r="A163" s="2">
        <v>44802</v>
      </c>
      <c r="B163" s="60">
        <f>LN('Price Data'!B164/'Price Data'!B163)</f>
        <v>-7.8056099699803224E-3</v>
      </c>
      <c r="C163" s="60">
        <f>LN('Price Data'!C164/'Price Data'!C163)</f>
        <v>-2.8215412036480599E-2</v>
      </c>
      <c r="D163" s="60">
        <f>LN('Price Data'!D164/'Price Data'!D163)</f>
        <v>-1.7374619036120701E-2</v>
      </c>
      <c r="E163" s="60">
        <f>LN('Price Data'!E164/'Price Data'!E163)</f>
        <v>-4.0091933654932001E-2</v>
      </c>
      <c r="F163" s="60">
        <f>LN('Price Data'!F164/'Price Data'!F163)</f>
        <v>2.0879852111254423E-3</v>
      </c>
    </row>
    <row r="164" spans="1:6" x14ac:dyDescent="0.35">
      <c r="A164" s="2">
        <v>44803</v>
      </c>
      <c r="B164" s="60">
        <f>LN('Price Data'!B165/'Price Data'!B164)</f>
        <v>1.5392104737794883E-2</v>
      </c>
      <c r="C164" s="60">
        <f>LN('Price Data'!C165/'Price Data'!C164)</f>
        <v>2.4780395100481065E-2</v>
      </c>
      <c r="D164" s="60">
        <f>LN('Price Data'!D165/'Price Data'!D164)</f>
        <v>3.6088016699618773E-2</v>
      </c>
      <c r="E164" s="60">
        <f>LN('Price Data'!E165/'Price Data'!E164)</f>
        <v>2.1116184133798913E-2</v>
      </c>
      <c r="F164" s="60">
        <f>LN('Price Data'!F165/'Price Data'!F164)</f>
        <v>2.1931469182839509E-2</v>
      </c>
    </row>
    <row r="165" spans="1:6" x14ac:dyDescent="0.35">
      <c r="A165" s="2">
        <v>44805</v>
      </c>
      <c r="B165" s="60">
        <f>LN('Price Data'!B166/'Price Data'!B165)</f>
        <v>-2.9836767112851097E-2</v>
      </c>
      <c r="C165" s="60">
        <f>LN('Price Data'!C166/'Price Data'!C165)</f>
        <v>-2.5052011069897285E-2</v>
      </c>
      <c r="D165" s="60">
        <f>LN('Price Data'!D166/'Price Data'!D165)</f>
        <v>-1.4702390681623562E-2</v>
      </c>
      <c r="E165" s="60">
        <f>LN('Price Data'!E166/'Price Data'!E165)</f>
        <v>-1.9445822349332498E-2</v>
      </c>
      <c r="F165" s="60">
        <f>LN('Price Data'!F166/'Price Data'!F165)</f>
        <v>-9.1140510100006546E-3</v>
      </c>
    </row>
    <row r="166" spans="1:6" x14ac:dyDescent="0.35">
      <c r="A166" s="2">
        <v>44806</v>
      </c>
      <c r="B166" s="60">
        <f>LN('Price Data'!B167/'Price Data'!B166)</f>
        <v>-1.1744426202000299E-2</v>
      </c>
      <c r="C166" s="60">
        <f>LN('Price Data'!C167/'Price Data'!C166)</f>
        <v>-4.1574801686324926E-4</v>
      </c>
      <c r="D166" s="60">
        <f>LN('Price Data'!D167/'Price Data'!D166)</f>
        <v>-2.2327188321945046E-3</v>
      </c>
      <c r="E166" s="60">
        <f>LN('Price Data'!E167/'Price Data'!E166)</f>
        <v>-7.6736505615273192E-3</v>
      </c>
      <c r="F166" s="60">
        <f>LN('Price Data'!F167/'Price Data'!F166)</f>
        <v>1.7336573146009757E-2</v>
      </c>
    </row>
    <row r="167" spans="1:6" x14ac:dyDescent="0.35">
      <c r="A167" s="2">
        <v>44809</v>
      </c>
      <c r="B167" s="60">
        <f>LN('Price Data'!B168/'Price Data'!B167)</f>
        <v>1.5411633747157122E-2</v>
      </c>
      <c r="C167" s="60">
        <f>LN('Price Data'!C168/'Price Data'!C167)</f>
        <v>9.5563504634866366E-4</v>
      </c>
      <c r="D167" s="60">
        <f>LN('Price Data'!D168/'Price Data'!D167)</f>
        <v>1.1454095651100671E-2</v>
      </c>
      <c r="E167" s="60">
        <f>LN('Price Data'!E168/'Price Data'!E167)</f>
        <v>5.6936561021474858E-3</v>
      </c>
      <c r="F167" s="60">
        <f>LN('Price Data'!F168/'Price Data'!F167)</f>
        <v>1.7500176556862212E-2</v>
      </c>
    </row>
    <row r="168" spans="1:6" x14ac:dyDescent="0.35">
      <c r="A168" s="2">
        <v>44810</v>
      </c>
      <c r="B168" s="60">
        <f>LN('Price Data'!B169/'Price Data'!B168)</f>
        <v>1.0472103546323564E-2</v>
      </c>
      <c r="C168" s="60">
        <f>LN('Price Data'!C169/'Price Data'!C168)</f>
        <v>-2.0269005031922143E-3</v>
      </c>
      <c r="D168" s="60">
        <f>LN('Price Data'!D169/'Price Data'!D168)</f>
        <v>1.3589266572312127E-3</v>
      </c>
      <c r="E168" s="60">
        <f>LN('Price Data'!E169/'Price Data'!E168)</f>
        <v>-4.2481943574984088E-3</v>
      </c>
      <c r="F168" s="60">
        <f>LN('Price Data'!F169/'Price Data'!F168)</f>
        <v>-5.1841402013458925E-3</v>
      </c>
    </row>
    <row r="169" spans="1:6" x14ac:dyDescent="0.35">
      <c r="A169" s="2">
        <v>44811</v>
      </c>
      <c r="B169" s="60">
        <f>LN('Price Data'!B170/'Price Data'!B169)</f>
        <v>-5.8365262335249093E-3</v>
      </c>
      <c r="C169" s="60">
        <f>LN('Price Data'!C170/'Price Data'!C169)</f>
        <v>7.1852763385332162E-3</v>
      </c>
      <c r="D169" s="60">
        <f>LN('Price Data'!D170/'Price Data'!D169)</f>
        <v>-8.4666812560078315E-3</v>
      </c>
      <c r="E169" s="60">
        <f>LN('Price Data'!E170/'Price Data'!E169)</f>
        <v>1.7469786208880506E-3</v>
      </c>
      <c r="F169" s="60">
        <f>LN('Price Data'!F170/'Price Data'!F169)</f>
        <v>-3.2345041676590403E-3</v>
      </c>
    </row>
    <row r="170" spans="1:6" x14ac:dyDescent="0.35">
      <c r="A170" s="2">
        <v>44812</v>
      </c>
      <c r="B170" s="60">
        <f>LN('Price Data'!B171/'Price Data'!B170)</f>
        <v>1.4154646109657001E-3</v>
      </c>
      <c r="C170" s="60">
        <f>LN('Price Data'!C171/'Price Data'!C170)</f>
        <v>6.345293640207637E-3</v>
      </c>
      <c r="D170" s="60">
        <f>LN('Price Data'!D171/'Price Data'!D170)</f>
        <v>2.5466164931375962E-2</v>
      </c>
      <c r="E170" s="60">
        <f>LN('Price Data'!E171/'Price Data'!E170)</f>
        <v>1.2443983404218048E-2</v>
      </c>
      <c r="F170" s="60">
        <f>LN('Price Data'!F171/'Price Data'!F170)</f>
        <v>1.159557763732816E-2</v>
      </c>
    </row>
    <row r="171" spans="1:6" x14ac:dyDescent="0.35">
      <c r="A171" s="2">
        <v>44813</v>
      </c>
      <c r="B171" s="60">
        <f>LN('Price Data'!B172/'Price Data'!B171)</f>
        <v>-6.2482306983608548E-3</v>
      </c>
      <c r="C171" s="60">
        <f>LN('Price Data'!C172/'Price Data'!C171)</f>
        <v>1.5030106693923113E-2</v>
      </c>
      <c r="D171" s="60">
        <f>LN('Price Data'!D172/'Price Data'!D171)</f>
        <v>2.7221482879848519E-3</v>
      </c>
      <c r="E171" s="60">
        <f>LN('Price Data'!E172/'Price Data'!E171)</f>
        <v>2.3934009251897464E-2</v>
      </c>
      <c r="F171" s="60">
        <f>LN('Price Data'!F172/'Price Data'!F171)</f>
        <v>1.8282654857935115E-3</v>
      </c>
    </row>
    <row r="172" spans="1:6" x14ac:dyDescent="0.35">
      <c r="A172" s="2">
        <v>44816</v>
      </c>
      <c r="B172" s="60">
        <f>LN('Price Data'!B173/'Price Data'!B172)</f>
        <v>1.1127284288622332E-2</v>
      </c>
      <c r="C172" s="60">
        <f>LN('Price Data'!C173/'Price Data'!C172)</f>
        <v>7.8342430759586502E-3</v>
      </c>
      <c r="D172" s="60">
        <f>LN('Price Data'!D173/'Price Data'!D172)</f>
        <v>6.580244374328869E-3</v>
      </c>
      <c r="E172" s="60">
        <f>LN('Price Data'!E173/'Price Data'!E172)</f>
        <v>1.6108466052344766E-2</v>
      </c>
      <c r="F172" s="60">
        <f>LN('Price Data'!F173/'Price Data'!F172)</f>
        <v>1.186582629525511E-3</v>
      </c>
    </row>
    <row r="173" spans="1:6" x14ac:dyDescent="0.35">
      <c r="A173" s="2">
        <v>44817</v>
      </c>
      <c r="B173" s="60">
        <f>LN('Price Data'!B174/'Price Data'!B173)</f>
        <v>8.3175133615892415E-3</v>
      </c>
      <c r="C173" s="60">
        <f>LN('Price Data'!C174/'Price Data'!C173)</f>
        <v>-4.2029976909675549E-3</v>
      </c>
      <c r="D173" s="60">
        <f>LN('Price Data'!D174/'Price Data'!D173)</f>
        <v>3.0816665374081144E-3</v>
      </c>
      <c r="E173" s="60">
        <f>LN('Price Data'!E174/'Price Data'!E173)</f>
        <v>5.6790888564329815E-3</v>
      </c>
      <c r="F173" s="60">
        <f>LN('Price Data'!F174/'Price Data'!F173)</f>
        <v>1.0526094587441914E-2</v>
      </c>
    </row>
    <row r="174" spans="1:6" x14ac:dyDescent="0.35">
      <c r="A174" s="2">
        <v>44818</v>
      </c>
      <c r="B174" s="60">
        <f>LN('Price Data'!B175/'Price Data'!B174)</f>
        <v>-1.2055422618045868E-2</v>
      </c>
      <c r="C174" s="60">
        <f>LN('Price Data'!C175/'Price Data'!C174)</f>
        <v>-3.4321477903573469E-2</v>
      </c>
      <c r="D174" s="60">
        <f>LN('Price Data'!D175/'Price Data'!D174)</f>
        <v>8.8617176387586032E-3</v>
      </c>
      <c r="E174" s="60">
        <f>LN('Price Data'!E175/'Price Data'!E174)</f>
        <v>-4.6062307529698733E-2</v>
      </c>
      <c r="F174" s="60">
        <f>LN('Price Data'!F175/'Price Data'!F174)</f>
        <v>2.8543548261030435E-3</v>
      </c>
    </row>
    <row r="175" spans="1:6" x14ac:dyDescent="0.35">
      <c r="A175" s="2">
        <v>44819</v>
      </c>
      <c r="B175" s="60">
        <f>LN('Price Data'!B176/'Price Data'!B175)</f>
        <v>-9.9563737846214851E-3</v>
      </c>
      <c r="C175" s="60">
        <f>LN('Price Data'!C176/'Price Data'!C175)</f>
        <v>-5.1572478632831769E-3</v>
      </c>
      <c r="D175" s="60">
        <f>LN('Price Data'!D176/'Price Data'!D175)</f>
        <v>-5.447513344934078E-4</v>
      </c>
      <c r="E175" s="60">
        <f>LN('Price Data'!E176/'Price Data'!E175)</f>
        <v>-2.9297714273350834E-2</v>
      </c>
      <c r="F175" s="60">
        <f>LN('Price Data'!F176/'Price Data'!F175)</f>
        <v>-3.7574253269713202E-3</v>
      </c>
    </row>
    <row r="176" spans="1:6" x14ac:dyDescent="0.35">
      <c r="A176" s="2">
        <v>44820</v>
      </c>
      <c r="B176" s="60">
        <f>LN('Price Data'!B177/'Price Data'!B176)</f>
        <v>-2.5095430775428335E-2</v>
      </c>
      <c r="C176" s="60">
        <f>LN('Price Data'!C177/'Price Data'!C176)</f>
        <v>-3.1296777697541328E-2</v>
      </c>
      <c r="D176" s="60">
        <f>LN('Price Data'!D177/'Price Data'!D176)</f>
        <v>-9.306466687348431E-3</v>
      </c>
      <c r="E176" s="60">
        <f>LN('Price Data'!E177/'Price Data'!E176)</f>
        <v>-3.9688828064240865E-2</v>
      </c>
      <c r="F176" s="60">
        <f>LN('Price Data'!F177/'Price Data'!F176)</f>
        <v>-8.4074770927676096E-3</v>
      </c>
    </row>
    <row r="177" spans="1:6" x14ac:dyDescent="0.35">
      <c r="A177" s="2">
        <v>44823</v>
      </c>
      <c r="B177" s="60">
        <f>LN('Price Data'!B178/'Price Data'!B177)</f>
        <v>1.3037352093312393E-3</v>
      </c>
      <c r="C177" s="60">
        <f>LN('Price Data'!C178/'Price Data'!C177)</f>
        <v>6.6617793064940815E-3</v>
      </c>
      <c r="D177" s="60">
        <f>LN('Price Data'!D178/'Price Data'!D177)</f>
        <v>-1.0949619988385863E-2</v>
      </c>
      <c r="E177" s="60">
        <f>LN('Price Data'!E178/'Price Data'!E177)</f>
        <v>9.5791185405957741E-3</v>
      </c>
      <c r="F177" s="60">
        <f>LN('Price Data'!F178/'Price Data'!F177)</f>
        <v>1.2914696261569237E-2</v>
      </c>
    </row>
    <row r="178" spans="1:6" x14ac:dyDescent="0.35">
      <c r="A178" s="2">
        <v>44824</v>
      </c>
      <c r="B178" s="60">
        <f>LN('Price Data'!B179/'Price Data'!B178)</f>
        <v>1.5844652022950685E-4</v>
      </c>
      <c r="C178" s="60">
        <f>LN('Price Data'!C179/'Price Data'!C178)</f>
        <v>3.7864183575578481E-3</v>
      </c>
      <c r="D178" s="60">
        <f>LN('Price Data'!D179/'Price Data'!D178)</f>
        <v>1.9329327812008804E-2</v>
      </c>
      <c r="E178" s="60">
        <f>LN('Price Data'!E179/'Price Data'!E178)</f>
        <v>-1.2593730855888765E-3</v>
      </c>
      <c r="F178" s="60">
        <f>LN('Price Data'!F179/'Price Data'!F178)</f>
        <v>1.1685569652864522E-3</v>
      </c>
    </row>
    <row r="179" spans="1:6" x14ac:dyDescent="0.35">
      <c r="A179" s="2">
        <v>44825</v>
      </c>
      <c r="B179" s="60">
        <f>LN('Price Data'!B180/'Price Data'!B179)</f>
        <v>2.7512026389357302E-3</v>
      </c>
      <c r="C179" s="60">
        <f>LN('Price Data'!C180/'Price Data'!C179)</f>
        <v>-1.2941628547210267E-2</v>
      </c>
      <c r="D179" s="60">
        <f>LN('Price Data'!D180/'Price Data'!D179)</f>
        <v>-1.6375549510897649E-3</v>
      </c>
      <c r="E179" s="60">
        <f>LN('Price Data'!E180/'Price Data'!E179)</f>
        <v>-8.1736992895545153E-3</v>
      </c>
      <c r="F179" s="60">
        <f>LN('Price Data'!F180/'Price Data'!F179)</f>
        <v>1.4625706609149134E-2</v>
      </c>
    </row>
    <row r="180" spans="1:6" x14ac:dyDescent="0.35">
      <c r="A180" s="2">
        <v>44826</v>
      </c>
      <c r="B180" s="60">
        <f>LN('Price Data'!B181/'Price Data'!B180)</f>
        <v>-9.4719726053260588E-3</v>
      </c>
      <c r="C180" s="60">
        <f>LN('Price Data'!C181/'Price Data'!C180)</f>
        <v>2.0640898468939945E-3</v>
      </c>
      <c r="D180" s="60">
        <f>LN('Price Data'!D181/'Price Data'!D180)</f>
        <v>-1.3031828779841851E-2</v>
      </c>
      <c r="E180" s="60">
        <f>LN('Price Data'!E181/'Price Data'!E180)</f>
        <v>-6.7770543760667535E-3</v>
      </c>
      <c r="F180" s="60">
        <f>LN('Price Data'!F181/'Price Data'!F180)</f>
        <v>1.1968462020745021E-2</v>
      </c>
    </row>
    <row r="181" spans="1:6" x14ac:dyDescent="0.35">
      <c r="A181" s="2">
        <v>44827</v>
      </c>
      <c r="B181" s="60">
        <f>LN('Price Data'!B182/'Price Data'!B181)</f>
        <v>-1.8919374445112699E-2</v>
      </c>
      <c r="C181" s="60">
        <f>LN('Price Data'!C182/'Price Data'!C181)</f>
        <v>-8.4676365793948313E-3</v>
      </c>
      <c r="D181" s="60">
        <f>LN('Price Data'!D182/'Price Data'!D181)</f>
        <v>-2.3689960665124309E-2</v>
      </c>
      <c r="E181" s="60">
        <f>LN('Price Data'!E182/'Price Data'!E181)</f>
        <v>-1.824818024629059E-3</v>
      </c>
      <c r="F181" s="60">
        <f>LN('Price Data'!F182/'Price Data'!F181)</f>
        <v>3.8997750305682847E-3</v>
      </c>
    </row>
    <row r="182" spans="1:6" x14ac:dyDescent="0.35">
      <c r="A182" s="2">
        <v>44830</v>
      </c>
      <c r="B182" s="60">
        <f>LN('Price Data'!B183/'Price Data'!B182)</f>
        <v>-2.5805109888573572E-2</v>
      </c>
      <c r="C182" s="60">
        <f>LN('Price Data'!C183/'Price Data'!C182)</f>
        <v>4.1332507215818418E-3</v>
      </c>
      <c r="D182" s="60">
        <f>LN('Price Data'!D183/'Price Data'!D182)</f>
        <v>-2.4322887804470991E-2</v>
      </c>
      <c r="E182" s="60">
        <f>LN('Price Data'!E183/'Price Data'!E182)</f>
        <v>1.078272335896731E-2</v>
      </c>
      <c r="F182" s="60">
        <f>LN('Price Data'!F183/'Price Data'!F182)</f>
        <v>-4.0667093849999905E-2</v>
      </c>
    </row>
    <row r="183" spans="1:6" x14ac:dyDescent="0.35">
      <c r="A183" s="2">
        <v>44831</v>
      </c>
      <c r="B183" s="60">
        <f>LN('Price Data'!B184/'Price Data'!B183)</f>
        <v>7.9192616489766471E-3</v>
      </c>
      <c r="C183" s="60">
        <f>LN('Price Data'!C184/'Price Data'!C183)</f>
        <v>7.6688564533439049E-3</v>
      </c>
      <c r="D183" s="60">
        <f>LN('Price Data'!D184/'Price Data'!D183)</f>
        <v>-9.9207162867478785E-3</v>
      </c>
      <c r="E183" s="60">
        <f>LN('Price Data'!E184/'Price Data'!E183)</f>
        <v>9.5858267385044351E-3</v>
      </c>
      <c r="F183" s="60">
        <f>LN('Price Data'!F184/'Price Data'!F183)</f>
        <v>6.7535230157799242E-3</v>
      </c>
    </row>
    <row r="184" spans="1:6" x14ac:dyDescent="0.35">
      <c r="A184" s="2">
        <v>44832</v>
      </c>
      <c r="B184" s="60">
        <f>LN('Price Data'!B185/'Price Data'!B184)</f>
        <v>-2.6985098865401159E-2</v>
      </c>
      <c r="C184" s="60">
        <f>LN('Price Data'!C185/'Price Data'!C184)</f>
        <v>6.0146890527450446E-3</v>
      </c>
      <c r="D184" s="60">
        <f>LN('Price Data'!D185/'Price Data'!D184)</f>
        <v>-3.5839173521738377E-3</v>
      </c>
      <c r="E184" s="60">
        <f>LN('Price Data'!E185/'Price Data'!E184)</f>
        <v>8.2232694292125254E-4</v>
      </c>
      <c r="F184" s="60">
        <f>LN('Price Data'!F185/'Price Data'!F184)</f>
        <v>-3.0013232402368216E-2</v>
      </c>
    </row>
    <row r="185" spans="1:6" x14ac:dyDescent="0.35">
      <c r="A185" s="2">
        <v>44833</v>
      </c>
      <c r="B185" s="60">
        <f>LN('Price Data'!B186/'Price Data'!B185)</f>
        <v>-3.074320513994189E-3</v>
      </c>
      <c r="C185" s="60">
        <f>LN('Price Data'!C186/'Price Data'!C185)</f>
        <v>-1.27153040885933E-2</v>
      </c>
      <c r="D185" s="60">
        <f>LN('Price Data'!D186/'Price Data'!D185)</f>
        <v>-6.6139369480659104E-3</v>
      </c>
      <c r="E185" s="60">
        <f>LN('Price Data'!E186/'Price Data'!E185)</f>
        <v>2.8296913063316541E-3</v>
      </c>
      <c r="F185" s="60">
        <f>LN('Price Data'!F186/'Price Data'!F185)</f>
        <v>2.4620109856382518E-2</v>
      </c>
    </row>
    <row r="186" spans="1:6" x14ac:dyDescent="0.35">
      <c r="A186" s="2">
        <v>44834</v>
      </c>
      <c r="B186" s="60">
        <f>LN('Price Data'!B187/'Price Data'!B186)</f>
        <v>2.230694176401378E-2</v>
      </c>
      <c r="C186" s="60">
        <f>LN('Price Data'!C187/'Price Data'!C186)</f>
        <v>2.4182156617581613E-3</v>
      </c>
      <c r="D186" s="60">
        <f>LN('Price Data'!D187/'Price Data'!D186)</f>
        <v>2.1221266499772174E-2</v>
      </c>
      <c r="E186" s="60">
        <f>LN('Price Data'!E187/'Price Data'!E186)</f>
        <v>1.0528144621702606E-2</v>
      </c>
      <c r="F186" s="60">
        <f>LN('Price Data'!F187/'Price Data'!F186)</f>
        <v>-2.5409130703792941E-3</v>
      </c>
    </row>
    <row r="187" spans="1:6" x14ac:dyDescent="0.35">
      <c r="A187" s="2">
        <v>44837</v>
      </c>
      <c r="B187" s="60">
        <f>LN('Price Data'!B188/'Price Data'!B187)</f>
        <v>-3.4711300235655998E-3</v>
      </c>
      <c r="C187" s="60">
        <f>LN('Price Data'!C188/'Price Data'!C187)</f>
        <v>-6.5474580656530636E-3</v>
      </c>
      <c r="D187" s="60">
        <f>LN('Price Data'!D188/'Price Data'!D187)</f>
        <v>-1.5961984174744606E-2</v>
      </c>
      <c r="E187" s="60">
        <f>LN('Price Data'!E188/'Price Data'!E187)</f>
        <v>-1.4035846066456227E-2</v>
      </c>
      <c r="F187" s="60">
        <f>LN('Price Data'!F188/'Price Data'!F187)</f>
        <v>-2.3783645809516935E-2</v>
      </c>
    </row>
    <row r="188" spans="1:6" x14ac:dyDescent="0.35">
      <c r="A188" s="2">
        <v>44838</v>
      </c>
      <c r="B188" s="60">
        <f>LN('Price Data'!B189/'Price Data'!B188)</f>
        <v>1.8268503138465009E-2</v>
      </c>
      <c r="C188" s="60">
        <f>LN('Price Data'!C189/'Price Data'!C188)</f>
        <v>3.4959759490880732E-2</v>
      </c>
      <c r="D188" s="60">
        <f>LN('Price Data'!D189/'Price Data'!D188)</f>
        <v>2.2495121047564154E-2</v>
      </c>
      <c r="E188" s="60">
        <f>LN('Price Data'!E189/'Price Data'!E188)</f>
        <v>2.5256656281236425E-2</v>
      </c>
      <c r="F188" s="60">
        <f>LN('Price Data'!F189/'Price Data'!F188)</f>
        <v>2.5720164917525063E-2</v>
      </c>
    </row>
    <row r="189" spans="1:6" x14ac:dyDescent="0.35">
      <c r="A189" s="2">
        <v>44840</v>
      </c>
      <c r="B189" s="60">
        <f>LN('Price Data'!B190/'Price Data'!B189)</f>
        <v>3.6812988067616271E-3</v>
      </c>
      <c r="C189" s="60">
        <f>LN('Price Data'!C190/'Price Data'!C189)</f>
        <v>3.4888336553063905E-3</v>
      </c>
      <c r="D189" s="60">
        <f>LN('Price Data'!D190/'Price Data'!D189)</f>
        <v>2.0307582818295332E-2</v>
      </c>
      <c r="E189" s="60">
        <f>LN('Price Data'!E190/'Price Data'!E189)</f>
        <v>1.785027070681517E-2</v>
      </c>
      <c r="F189" s="60">
        <f>LN('Price Data'!F190/'Price Data'!F189)</f>
        <v>1.1361709235858407E-2</v>
      </c>
    </row>
    <row r="190" spans="1:6" x14ac:dyDescent="0.35">
      <c r="A190" s="2">
        <v>44841</v>
      </c>
      <c r="B190" s="60">
        <f>LN('Price Data'!B191/'Price Data'!B190)</f>
        <v>4.2294874220344591E-3</v>
      </c>
      <c r="C190" s="60">
        <f>LN('Price Data'!C191/'Price Data'!C190)</f>
        <v>-1.2013693807174186E-2</v>
      </c>
      <c r="D190" s="60">
        <f>LN('Price Data'!D191/'Price Data'!D190)</f>
        <v>-3.2805459285201459E-3</v>
      </c>
      <c r="E190" s="60">
        <f>LN('Price Data'!E191/'Price Data'!E190)</f>
        <v>-2.7127481117627168E-3</v>
      </c>
      <c r="F190" s="60">
        <f>LN('Price Data'!F191/'Price Data'!F190)</f>
        <v>-7.6203416878324673E-3</v>
      </c>
    </row>
    <row r="191" spans="1:6" x14ac:dyDescent="0.35">
      <c r="A191" s="2">
        <v>44844</v>
      </c>
      <c r="B191" s="60">
        <f>LN('Price Data'!B192/'Price Data'!B191)</f>
        <v>-1.0982816731898956E-2</v>
      </c>
      <c r="C191" s="60">
        <f>LN('Price Data'!C192/'Price Data'!C191)</f>
        <v>1.7352418078423769E-2</v>
      </c>
      <c r="D191" s="60">
        <f>LN('Price Data'!D192/'Price Data'!D191)</f>
        <v>-9.0687531012653179E-4</v>
      </c>
      <c r="E191" s="60">
        <f>LN('Price Data'!E192/'Price Data'!E191)</f>
        <v>7.8550336243268098E-3</v>
      </c>
      <c r="F191" s="60">
        <f>LN('Price Data'!F192/'Price Data'!F191)</f>
        <v>-1.8879096646565688E-2</v>
      </c>
    </row>
    <row r="192" spans="1:6" x14ac:dyDescent="0.35">
      <c r="A192" s="2">
        <v>44845</v>
      </c>
      <c r="B192" s="60">
        <f>LN('Price Data'!B193/'Price Data'!B192)</f>
        <v>-2.0108151685007306E-2</v>
      </c>
      <c r="C192" s="60">
        <f>LN('Price Data'!C193/'Price Data'!C192)</f>
        <v>-1.5838615622896797E-2</v>
      </c>
      <c r="D192" s="60">
        <f>LN('Price Data'!D193/'Price Data'!D192)</f>
        <v>-1.2725939997964167E-2</v>
      </c>
      <c r="E192" s="60">
        <f>LN('Price Data'!E193/'Price Data'!E192)</f>
        <v>-2.6918953740795656E-2</v>
      </c>
      <c r="F192" s="60">
        <f>LN('Price Data'!F193/'Price Data'!F192)</f>
        <v>-4.7374500268847304E-3</v>
      </c>
    </row>
    <row r="193" spans="1:6" x14ac:dyDescent="0.35">
      <c r="A193" s="2">
        <v>44846</v>
      </c>
      <c r="B193" s="60">
        <f>LN('Price Data'!B194/'Price Data'!B193)</f>
        <v>7.3353148522046019E-3</v>
      </c>
      <c r="C193" s="60">
        <f>LN('Price Data'!C194/'Price Data'!C193)</f>
        <v>1.0113210997627095E-2</v>
      </c>
      <c r="D193" s="60">
        <f>LN('Price Data'!D194/'Price Data'!D193)</f>
        <v>-2.5877699250738263E-3</v>
      </c>
      <c r="E193" s="60">
        <f>LN('Price Data'!E194/'Price Data'!E193)</f>
        <v>3.4338005402233729E-3</v>
      </c>
      <c r="F193" s="60">
        <f>LN('Price Data'!F194/'Price Data'!F193)</f>
        <v>1.1588467770531368E-2</v>
      </c>
    </row>
    <row r="194" spans="1:6" x14ac:dyDescent="0.35">
      <c r="A194" s="2">
        <v>44847</v>
      </c>
      <c r="B194" s="60">
        <f>LN('Price Data'!B195/'Price Data'!B194)</f>
        <v>3.1669332244327222E-3</v>
      </c>
      <c r="C194" s="60">
        <f>LN('Price Data'!C195/'Price Data'!C194)</f>
        <v>8.2275568303159113E-4</v>
      </c>
      <c r="D194" s="60">
        <f>LN('Price Data'!D195/'Price Data'!D194)</f>
        <v>-1.7132159205579721E-2</v>
      </c>
      <c r="E194" s="60">
        <f>LN('Price Data'!E195/'Price Data'!E194)</f>
        <v>-6.1780238370701054E-3</v>
      </c>
      <c r="F194" s="60">
        <f>LN('Price Data'!F195/'Price Data'!F194)</f>
        <v>-4.398834072483513E-3</v>
      </c>
    </row>
    <row r="195" spans="1:6" x14ac:dyDescent="0.35">
      <c r="A195" s="2">
        <v>44848</v>
      </c>
      <c r="B195" s="60">
        <f>LN('Price Data'!B196/'Price Data'!B195)</f>
        <v>-5.0886449742930653E-3</v>
      </c>
      <c r="C195" s="60">
        <f>LN('Price Data'!C196/'Price Data'!C195)</f>
        <v>-1.3385621876779352E-3</v>
      </c>
      <c r="D195" s="60">
        <f>LN('Price Data'!D196/'Price Data'!D195)</f>
        <v>1.9317826704004663E-2</v>
      </c>
      <c r="E195" s="60">
        <f>LN('Price Data'!E196/'Price Data'!E195)</f>
        <v>3.756613690843992E-2</v>
      </c>
      <c r="F195" s="60">
        <f>LN('Price Data'!F196/'Price Data'!F195)</f>
        <v>1.0446106166803559E-2</v>
      </c>
    </row>
    <row r="196" spans="1:6" x14ac:dyDescent="0.35">
      <c r="A196" s="2">
        <v>44851</v>
      </c>
      <c r="B196" s="60">
        <f>LN('Price Data'!B197/'Price Data'!B196)</f>
        <v>1.5920835193190781E-2</v>
      </c>
      <c r="C196" s="60">
        <f>LN('Price Data'!C197/'Price Data'!C196)</f>
        <v>4.0564391682988594E-3</v>
      </c>
      <c r="D196" s="60">
        <f>LN('Price Data'!D197/'Price Data'!D196)</f>
        <v>1.70330814853464E-2</v>
      </c>
      <c r="E196" s="60">
        <f>LN('Price Data'!E197/'Price Data'!E196)</f>
        <v>1.0591802750984307E-2</v>
      </c>
      <c r="F196" s="60">
        <f>LN('Price Data'!F197/'Price Data'!F196)</f>
        <v>4.5434582556264048E-4</v>
      </c>
    </row>
    <row r="197" spans="1:6" x14ac:dyDescent="0.35">
      <c r="A197" s="2">
        <v>44852</v>
      </c>
      <c r="B197" s="60">
        <f>LN('Price Data'!B198/'Price Data'!B197)</f>
        <v>1.7488399513993357E-2</v>
      </c>
      <c r="C197" s="60">
        <f>LN('Price Data'!C198/'Price Data'!C197)</f>
        <v>1.0534259719774024E-2</v>
      </c>
      <c r="D197" s="60">
        <f>LN('Price Data'!D198/'Price Data'!D197)</f>
        <v>1.3130764947062759E-2</v>
      </c>
      <c r="E197" s="60">
        <f>LN('Price Data'!E198/'Price Data'!E197)</f>
        <v>9.1842076329818161E-3</v>
      </c>
      <c r="F197" s="60">
        <f>LN('Price Data'!F198/'Price Data'!F197)</f>
        <v>2.3937472317852211E-2</v>
      </c>
    </row>
    <row r="198" spans="1:6" x14ac:dyDescent="0.35">
      <c r="A198" s="2">
        <v>44853</v>
      </c>
      <c r="B198" s="60">
        <f>LN('Price Data'!B199/'Price Data'!B198)</f>
        <v>1.724964142409469E-2</v>
      </c>
      <c r="C198" s="60">
        <f>LN('Price Data'!C199/'Price Data'!C198)</f>
        <v>-7.2917211237169283E-3</v>
      </c>
      <c r="D198" s="60">
        <f>LN('Price Data'!D199/'Price Data'!D198)</f>
        <v>-5.3661392042195447E-3</v>
      </c>
      <c r="E198" s="60">
        <f>LN('Price Data'!E199/'Price Data'!E198)</f>
        <v>-1.2205776617565842E-2</v>
      </c>
      <c r="F198" s="60">
        <f>LN('Price Data'!F199/'Price Data'!F198)</f>
        <v>1.7613467286511999E-2</v>
      </c>
    </row>
    <row r="199" spans="1:6" x14ac:dyDescent="0.35">
      <c r="A199" s="2">
        <v>44854</v>
      </c>
      <c r="B199" s="60">
        <f>LN('Price Data'!B200/'Price Data'!B199)</f>
        <v>2.6906043623064614E-3</v>
      </c>
      <c r="C199" s="60">
        <f>LN('Price Data'!C200/'Price Data'!C199)</f>
        <v>1.128952099283414E-2</v>
      </c>
      <c r="D199" s="60">
        <f>LN('Price Data'!D200/'Price Data'!D199)</f>
        <v>-3.8747767137370685E-3</v>
      </c>
      <c r="E199" s="60">
        <f>LN('Price Data'!E200/'Price Data'!E199)</f>
        <v>1.0344850169475894E-2</v>
      </c>
      <c r="F199" s="60">
        <f>LN('Price Data'!F200/'Price Data'!F199)</f>
        <v>9.6272733629545887E-3</v>
      </c>
    </row>
    <row r="200" spans="1:6" x14ac:dyDescent="0.35">
      <c r="A200" s="2">
        <v>44855</v>
      </c>
      <c r="B200" s="60">
        <f>LN('Price Data'!B201/'Price Data'!B200)</f>
        <v>-1.1670336216701393E-2</v>
      </c>
      <c r="C200" s="60">
        <f>LN('Price Data'!C201/'Price Data'!C200)</f>
        <v>-6.3211891452758084E-3</v>
      </c>
      <c r="D200" s="60">
        <f>LN('Price Data'!D201/'Price Data'!D200)</f>
        <v>2.0604359610171336E-2</v>
      </c>
      <c r="E200" s="60">
        <f>LN('Price Data'!E201/'Price Data'!E200)</f>
        <v>-2.680444165644941E-4</v>
      </c>
      <c r="F200" s="60">
        <f>LN('Price Data'!F201/'Price Data'!F200)</f>
        <v>-1.1808426166721177E-2</v>
      </c>
    </row>
    <row r="201" spans="1:6" x14ac:dyDescent="0.35">
      <c r="A201" s="2">
        <v>44858</v>
      </c>
      <c r="B201" s="60">
        <f>LN('Price Data'!B202/'Price Data'!B201)</f>
        <v>3.3368809354081957E-3</v>
      </c>
      <c r="C201" s="60">
        <f>LN('Price Data'!C202/'Price Data'!C201)</f>
        <v>7.7161655109093379E-3</v>
      </c>
      <c r="D201" s="60">
        <f>LN('Price Data'!D202/'Price Data'!D201)</f>
        <v>2.0890339443809709E-2</v>
      </c>
      <c r="E201" s="60">
        <f>LN('Price Data'!E202/'Price Data'!E201)</f>
        <v>1.1494647506042933E-2</v>
      </c>
      <c r="F201" s="60">
        <f>LN('Price Data'!F202/'Price Data'!F201)</f>
        <v>6.0663418022405425E-3</v>
      </c>
    </row>
    <row r="202" spans="1:6" x14ac:dyDescent="0.35">
      <c r="A202" s="2">
        <v>44859</v>
      </c>
      <c r="B202" s="60">
        <f>LN('Price Data'!B203/'Price Data'!B202)</f>
        <v>-1.5569010566853196E-2</v>
      </c>
      <c r="C202" s="60">
        <f>LN('Price Data'!C203/'Price Data'!C202)</f>
        <v>1.2642491430485387E-4</v>
      </c>
      <c r="D202" s="60">
        <f>LN('Price Data'!D203/'Price Data'!D202)</f>
        <v>-1.3503661543703104E-3</v>
      </c>
      <c r="E202" s="60">
        <f>LN('Price Data'!E203/'Price Data'!E202)</f>
        <v>5.5565058442583184E-3</v>
      </c>
      <c r="F202" s="60">
        <f>LN('Price Data'!F203/'Price Data'!F202)</f>
        <v>-4.0304512697598004E-3</v>
      </c>
    </row>
    <row r="203" spans="1:6" x14ac:dyDescent="0.35">
      <c r="A203" s="2">
        <v>44861</v>
      </c>
      <c r="B203" s="60">
        <f>LN('Price Data'!B204/'Price Data'!B203)</f>
        <v>3.9262704989780359E-3</v>
      </c>
      <c r="C203" s="60">
        <f>LN('Price Data'!C204/'Price Data'!C203)</f>
        <v>-1.4889378580961816E-3</v>
      </c>
      <c r="D203" s="60">
        <f>LN('Price Data'!D204/'Price Data'!D203)</f>
        <v>-7.0291170538586698E-4</v>
      </c>
      <c r="E203" s="60">
        <f>LN('Price Data'!E204/'Price Data'!E203)</f>
        <v>-1.5429456172656422E-3</v>
      </c>
      <c r="F203" s="60">
        <f>LN('Price Data'!F204/'Price Data'!F203)</f>
        <v>-1.4537844563197967E-3</v>
      </c>
    </row>
    <row r="204" spans="1:6" x14ac:dyDescent="0.35">
      <c r="A204" s="2">
        <v>44862</v>
      </c>
      <c r="B204" s="60">
        <f>LN('Price Data'!B205/'Price Data'!B204)</f>
        <v>3.0134973917383828E-2</v>
      </c>
      <c r="C204" s="60">
        <f>LN('Price Data'!C205/'Price Data'!C204)</f>
        <v>1.8519154449748701E-3</v>
      </c>
      <c r="D204" s="60">
        <f>LN('Price Data'!D205/'Price Data'!D204)</f>
        <v>-1.8065711683549663E-2</v>
      </c>
      <c r="E204" s="60">
        <f>LN('Price Data'!E205/'Price Data'!E204)</f>
        <v>-7.0459668093326875E-3</v>
      </c>
      <c r="F204" s="60">
        <f>LN('Price Data'!F205/'Price Data'!F204)</f>
        <v>0</v>
      </c>
    </row>
    <row r="205" spans="1:6" x14ac:dyDescent="0.35">
      <c r="A205" s="2">
        <v>44865</v>
      </c>
      <c r="B205" s="60">
        <f>LN('Price Data'!B206/'Price Data'!B205)</f>
        <v>9.2447371346947478E-3</v>
      </c>
      <c r="C205" s="60">
        <f>LN('Price Data'!C206/'Price Data'!C205)</f>
        <v>9.4075163249188534E-3</v>
      </c>
      <c r="D205" s="60">
        <f>LN('Price Data'!D206/'Price Data'!D205)</f>
        <v>9.3583998462531319E-4</v>
      </c>
      <c r="E205" s="60">
        <f>LN('Price Data'!E206/'Price Data'!E205)</f>
        <v>1.59934848197371E-2</v>
      </c>
      <c r="F205" s="60">
        <f>LN('Price Data'!F206/'Price Data'!F205)</f>
        <v>8.3738265481996775E-3</v>
      </c>
    </row>
    <row r="206" spans="1:6" x14ac:dyDescent="0.35">
      <c r="A206" s="2">
        <v>44866</v>
      </c>
      <c r="B206" s="60">
        <f>LN('Price Data'!B207/'Price Data'!B206)</f>
        <v>-7.7807228604997803E-3</v>
      </c>
      <c r="C206" s="60">
        <f>LN('Price Data'!C207/'Price Data'!C206)</f>
        <v>2.0627934359059307E-2</v>
      </c>
      <c r="D206" s="60">
        <f>LN('Price Data'!D207/'Price Data'!D206)</f>
        <v>-1.1005337599843987E-4</v>
      </c>
      <c r="E206" s="60">
        <f>LN('Price Data'!E207/'Price Data'!E206)</f>
        <v>2.2734570699025503E-2</v>
      </c>
      <c r="F206" s="60">
        <f>LN('Price Data'!F207/'Price Data'!F206)</f>
        <v>2.2768877013368076E-3</v>
      </c>
    </row>
    <row r="207" spans="1:6" x14ac:dyDescent="0.35">
      <c r="A207" s="2">
        <v>44867</v>
      </c>
      <c r="B207" s="60">
        <f>LN('Price Data'!B208/'Price Data'!B207)</f>
        <v>6.2328754856758655E-3</v>
      </c>
      <c r="C207" s="60">
        <f>LN('Price Data'!C208/'Price Data'!C207)</f>
        <v>-5.5368787538351413E-3</v>
      </c>
      <c r="D207" s="60">
        <f>LN('Price Data'!D208/'Price Data'!D207)</f>
        <v>-4.3015562936069597E-3</v>
      </c>
      <c r="E207" s="60">
        <f>LN('Price Data'!E208/'Price Data'!E207)</f>
        <v>-1.2609615156571241E-2</v>
      </c>
      <c r="F207" s="60">
        <f>LN('Price Data'!F208/'Price Data'!F207)</f>
        <v>1.4632176924051259E-2</v>
      </c>
    </row>
    <row r="208" spans="1:6" x14ac:dyDescent="0.35">
      <c r="A208" s="2">
        <v>44868</v>
      </c>
      <c r="B208" s="60">
        <f>LN('Price Data'!B209/'Price Data'!B208)</f>
        <v>3.722887072275396E-3</v>
      </c>
      <c r="C208" s="60">
        <f>LN('Price Data'!C209/'Price Data'!C208)</f>
        <v>-1.0840507477765242E-2</v>
      </c>
      <c r="D208" s="60">
        <f>LN('Price Data'!D209/'Price Data'!D208)</f>
        <v>4.3565844955742354E-3</v>
      </c>
      <c r="E208" s="60">
        <f>LN('Price Data'!E209/'Price Data'!E208)</f>
        <v>-1.4621554623966439E-2</v>
      </c>
      <c r="F208" s="60">
        <f>LN('Price Data'!F209/'Price Data'!F208)</f>
        <v>-2.6988269388889684E-3</v>
      </c>
    </row>
    <row r="209" spans="1:6" x14ac:dyDescent="0.35">
      <c r="A209" s="2">
        <v>44869</v>
      </c>
      <c r="B209" s="60">
        <f>LN('Price Data'!B210/'Price Data'!B209)</f>
        <v>1.4610045092975017E-2</v>
      </c>
      <c r="C209" s="60">
        <f>LN('Price Data'!C210/'Price Data'!C209)</f>
        <v>3.3154825610581485E-3</v>
      </c>
      <c r="D209" s="60">
        <f>LN('Price Data'!D210/'Price Data'!D209)</f>
        <v>-3.6936010458756912E-3</v>
      </c>
      <c r="E209" s="60">
        <f>LN('Price Data'!E210/'Price Data'!E209)</f>
        <v>-1.0998594865572605E-2</v>
      </c>
      <c r="F209" s="60">
        <f>LN('Price Data'!F210/'Price Data'!F209)</f>
        <v>-2.845112116607558E-4</v>
      </c>
    </row>
    <row r="210" spans="1:6" x14ac:dyDescent="0.35">
      <c r="A210" s="2">
        <v>44872</v>
      </c>
      <c r="B210" s="60">
        <f>LN('Price Data'!B211/'Price Data'!B210)</f>
        <v>5.321730762769275E-3</v>
      </c>
      <c r="C210" s="60">
        <f>LN('Price Data'!C211/'Price Data'!C210)</f>
        <v>5.0525540208984565E-3</v>
      </c>
      <c r="D210" s="60">
        <f>LN('Price Data'!D211/'Price Data'!D210)</f>
        <v>1.338619944733079E-2</v>
      </c>
      <c r="E210" s="60">
        <f>LN('Price Data'!E211/'Price Data'!E210)</f>
        <v>-4.3401343539997738E-3</v>
      </c>
      <c r="F210" s="60">
        <f>LN('Price Data'!F211/'Price Data'!F210)</f>
        <v>-2.5612931824653873E-4</v>
      </c>
    </row>
    <row r="211" spans="1:6" x14ac:dyDescent="0.35">
      <c r="A211" s="2">
        <v>44874</v>
      </c>
      <c r="B211" s="60">
        <f>LN('Price Data'!B212/'Price Data'!B211)</f>
        <v>-9.9778466278110565E-4</v>
      </c>
      <c r="C211" s="60">
        <f>LN('Price Data'!C212/'Price Data'!C211)</f>
        <v>-5.4731612309536805E-3</v>
      </c>
      <c r="D211" s="60">
        <f>LN('Price Data'!D212/'Price Data'!D211)</f>
        <v>-7.6586807610626939E-3</v>
      </c>
      <c r="E211" s="60">
        <f>LN('Price Data'!E212/'Price Data'!E211)</f>
        <v>2.4852347944874066E-3</v>
      </c>
      <c r="F211" s="60">
        <f>LN('Price Data'!F212/'Price Data'!F211)</f>
        <v>2.0146350062603895E-2</v>
      </c>
    </row>
    <row r="212" spans="1:6" x14ac:dyDescent="0.35">
      <c r="A212" s="2">
        <v>44875</v>
      </c>
      <c r="B212" s="60">
        <f>LN('Price Data'!B213/'Price Data'!B212)</f>
        <v>-1.2171606072612315E-2</v>
      </c>
      <c r="C212" s="60">
        <f>LN('Price Data'!C213/'Price Data'!C212)</f>
        <v>-3.2401383777220811E-3</v>
      </c>
      <c r="D212" s="60">
        <f>LN('Price Data'!D213/'Price Data'!D212)</f>
        <v>2.1963540611041074E-4</v>
      </c>
      <c r="E212" s="60">
        <f>LN('Price Data'!E213/'Price Data'!E212)</f>
        <v>-6.1410083988059092E-3</v>
      </c>
      <c r="F212" s="60">
        <f>LN('Price Data'!F213/'Price Data'!F212)</f>
        <v>-1.3112456407373034E-2</v>
      </c>
    </row>
    <row r="213" spans="1:6" x14ac:dyDescent="0.35">
      <c r="A213" s="2">
        <v>44876</v>
      </c>
      <c r="B213" s="60">
        <f>LN('Price Data'!B214/'Price Data'!B213)</f>
        <v>2.279156215453336E-2</v>
      </c>
      <c r="C213" s="60">
        <f>LN('Price Data'!C214/'Price Data'!C213)</f>
        <v>3.3831951820992308E-2</v>
      </c>
      <c r="D213" s="60">
        <f>LN('Price Data'!D214/'Price Data'!D213)</f>
        <v>-4.5673487019552263E-3</v>
      </c>
      <c r="E213" s="60">
        <f>LN('Price Data'!E214/'Price Data'!E213)</f>
        <v>4.4376362049195366E-2</v>
      </c>
      <c r="F213" s="60">
        <f>LN('Price Data'!F214/'Price Data'!F213)</f>
        <v>9.8871461040990981E-4</v>
      </c>
    </row>
    <row r="214" spans="1:6" x14ac:dyDescent="0.35">
      <c r="A214" s="2">
        <v>44879</v>
      </c>
      <c r="B214" s="60">
        <f>LN('Price Data'!B215/'Price Data'!B214)</f>
        <v>-4.8583906834093124E-3</v>
      </c>
      <c r="C214" s="60">
        <f>LN('Price Data'!C215/'Price Data'!C214)</f>
        <v>5.8773571062254787E-3</v>
      </c>
      <c r="D214" s="60">
        <f>LN('Price Data'!D215/'Price Data'!D214)</f>
        <v>-1.2878335079308714E-2</v>
      </c>
      <c r="E214" s="60">
        <f>LN('Price Data'!E215/'Price Data'!E214)</f>
        <v>9.6376458281379057E-3</v>
      </c>
      <c r="F214" s="60">
        <f>LN('Price Data'!F215/'Price Data'!F214)</f>
        <v>-2.6029728849920462E-2</v>
      </c>
    </row>
    <row r="215" spans="1:6" x14ac:dyDescent="0.35">
      <c r="A215" s="2">
        <v>44880</v>
      </c>
      <c r="B215" s="60">
        <f>LN('Price Data'!B216/'Price Data'!B215)</f>
        <v>-4.4933665779019012E-3</v>
      </c>
      <c r="C215" s="60">
        <f>LN('Price Data'!C216/'Price Data'!C215)</f>
        <v>-8.7002374227370045E-4</v>
      </c>
      <c r="D215" s="60">
        <f>LN('Price Data'!D216/'Price Data'!D215)</f>
        <v>1.8543137798348042E-2</v>
      </c>
      <c r="E215" s="60">
        <f>LN('Price Data'!E216/'Price Data'!E215)</f>
        <v>5.4721169984210246E-3</v>
      </c>
      <c r="F215" s="60">
        <f>LN('Price Data'!F216/'Price Data'!F215)</f>
        <v>-5.6087678456775607E-3</v>
      </c>
    </row>
    <row r="216" spans="1:6" x14ac:dyDescent="0.35">
      <c r="A216" s="2">
        <v>44881</v>
      </c>
      <c r="B216" s="60">
        <f>LN('Price Data'!B217/'Price Data'!B216)</f>
        <v>-5.7535949118142889E-3</v>
      </c>
      <c r="C216" s="60">
        <f>LN('Price Data'!C217/'Price Data'!C216)</f>
        <v>6.8016317558784577E-3</v>
      </c>
      <c r="D216" s="60">
        <f>LN('Price Data'!D217/'Price Data'!D216)</f>
        <v>2.0818503108887697E-3</v>
      </c>
      <c r="E216" s="60">
        <f>LN('Price Data'!E217/'Price Data'!E216)</f>
        <v>5.5050801368064645E-3</v>
      </c>
      <c r="F216" s="60">
        <f>LN('Price Data'!F217/'Price Data'!F216)</f>
        <v>-3.3570302862467672E-3</v>
      </c>
    </row>
    <row r="217" spans="1:6" x14ac:dyDescent="0.35">
      <c r="A217" s="2">
        <v>44882</v>
      </c>
      <c r="B217" s="60">
        <f>LN('Price Data'!B218/'Price Data'!B217)</f>
        <v>2.5885532567554281E-3</v>
      </c>
      <c r="C217" s="60">
        <f>LN('Price Data'!C218/'Price Data'!C217)</f>
        <v>-1.8926977808574757E-3</v>
      </c>
      <c r="D217" s="60">
        <f>LN('Price Data'!D218/'Price Data'!D217)</f>
        <v>6.7634162040775781E-3</v>
      </c>
      <c r="E217" s="60">
        <f>LN('Price Data'!E218/'Price Data'!E217)</f>
        <v>-9.6586215127935308E-3</v>
      </c>
      <c r="F217" s="60">
        <f>LN('Price Data'!F218/'Price Data'!F217)</f>
        <v>-1.1410349546182009E-3</v>
      </c>
    </row>
    <row r="218" spans="1:6" x14ac:dyDescent="0.35">
      <c r="A218" s="2">
        <v>44883</v>
      </c>
      <c r="B218" s="60">
        <f>LN('Price Data'!B219/'Price Data'!B218)</f>
        <v>-5.4261661229445472E-4</v>
      </c>
      <c r="C218" s="60">
        <f>LN('Price Data'!C219/'Price Data'!C218)</f>
        <v>-1.6571382478865388E-3</v>
      </c>
      <c r="D218" s="60">
        <f>LN('Price Data'!D219/'Price Data'!D218)</f>
        <v>5.9777737290780389E-4</v>
      </c>
      <c r="E218" s="60">
        <f>LN('Price Data'!E219/'Price Data'!E218)</f>
        <v>3.7749375362078437E-3</v>
      </c>
      <c r="F218" s="60">
        <f>LN('Price Data'!F219/'Price Data'!F218)</f>
        <v>-7.7583555961111619E-3</v>
      </c>
    </row>
    <row r="219" spans="1:6" x14ac:dyDescent="0.35">
      <c r="A219" s="2">
        <v>44886</v>
      </c>
      <c r="B219" s="60">
        <f>LN('Price Data'!B220/'Price Data'!B219)</f>
        <v>-1.8159911652138445E-2</v>
      </c>
      <c r="C219" s="60">
        <f>LN('Price Data'!C220/'Price Data'!C219)</f>
        <v>-1.8093644412149387E-2</v>
      </c>
      <c r="D219" s="60">
        <f>LN('Price Data'!D220/'Price Data'!D219)</f>
        <v>1.1402200230853858E-3</v>
      </c>
      <c r="E219" s="60">
        <f>LN('Price Data'!E220/'Price Data'!E219)</f>
        <v>-1.5942421956473832E-2</v>
      </c>
      <c r="F219" s="60">
        <f>LN('Price Data'!F220/'Price Data'!F219)</f>
        <v>-1.1333751345725679E-2</v>
      </c>
    </row>
    <row r="220" spans="1:6" x14ac:dyDescent="0.35">
      <c r="A220" s="2">
        <v>44887</v>
      </c>
      <c r="B220" s="60">
        <f>LN('Price Data'!B221/'Price Data'!B220)</f>
        <v>5.5290631235078427E-3</v>
      </c>
      <c r="C220" s="60">
        <f>LN('Price Data'!C221/'Price Data'!C220)</f>
        <v>9.5315449727412481E-3</v>
      </c>
      <c r="D220" s="60">
        <f>LN('Price Data'!D221/'Price Data'!D220)</f>
        <v>2.4930910967478652E-3</v>
      </c>
      <c r="E220" s="60">
        <f>LN('Price Data'!E221/'Price Data'!E220)</f>
        <v>1.0690309043012174E-2</v>
      </c>
      <c r="F220" s="60">
        <f>LN('Price Data'!F221/'Price Data'!F220)</f>
        <v>9.0003726490506565E-3</v>
      </c>
    </row>
    <row r="221" spans="1:6" x14ac:dyDescent="0.35">
      <c r="A221" s="2">
        <v>44888</v>
      </c>
      <c r="B221" s="60">
        <f>LN('Price Data'!B222/'Price Data'!B221)</f>
        <v>-3.1224891718148835E-3</v>
      </c>
      <c r="C221" s="60">
        <f>LN('Price Data'!C222/'Price Data'!C221)</f>
        <v>-2.0087257849585108E-3</v>
      </c>
      <c r="D221" s="60">
        <f>LN('Price Data'!D222/'Price Data'!D221)</f>
        <v>4.0515410741230901E-3</v>
      </c>
      <c r="E221" s="60">
        <f>LN('Price Data'!E222/'Price Data'!E221)</f>
        <v>-1.1998287398532577E-3</v>
      </c>
      <c r="F221" s="60">
        <f>LN('Price Data'!F222/'Price Data'!F221)</f>
        <v>-1.3315778203293715E-3</v>
      </c>
    </row>
    <row r="222" spans="1:6" x14ac:dyDescent="0.35">
      <c r="A222" s="2">
        <v>44889</v>
      </c>
      <c r="B222" s="60">
        <f>LN('Price Data'!B223/'Price Data'!B222)</f>
        <v>8.5869836438937155E-3</v>
      </c>
      <c r="C222" s="60">
        <f>LN('Price Data'!C223/'Price Data'!C222)</f>
        <v>2.1486033629274842E-2</v>
      </c>
      <c r="D222" s="60">
        <f>LN('Price Data'!D223/'Price Data'!D222)</f>
        <v>1.2216837366132665E-2</v>
      </c>
      <c r="E222" s="60">
        <f>LN('Price Data'!E223/'Price Data'!E222)</f>
        <v>2.9041619091667231E-2</v>
      </c>
      <c r="F222" s="60">
        <f>LN('Price Data'!F223/'Price Data'!F222)</f>
        <v>2.7795044358953093E-3</v>
      </c>
    </row>
    <row r="223" spans="1:6" x14ac:dyDescent="0.35">
      <c r="A223" s="2">
        <v>44890</v>
      </c>
      <c r="B223" s="60">
        <f>LN('Price Data'!B224/'Price Data'!B223)</f>
        <v>1.4820487126469672E-2</v>
      </c>
      <c r="C223" s="60">
        <f>LN('Price Data'!C224/'Price Data'!C223)</f>
        <v>2.8070555118207899E-3</v>
      </c>
      <c r="D223" s="60">
        <f>LN('Price Data'!D224/'Price Data'!D223)</f>
        <v>-9.1486072643073187E-3</v>
      </c>
      <c r="E223" s="60">
        <f>LN('Price Data'!E224/'Price Data'!E223)</f>
        <v>3.5785265233606073E-3</v>
      </c>
      <c r="F223" s="60">
        <f>LN('Price Data'!F224/'Price Data'!F223)</f>
        <v>-1.3000829156558699E-3</v>
      </c>
    </row>
    <row r="224" spans="1:6" x14ac:dyDescent="0.35">
      <c r="A224" s="2">
        <v>44893</v>
      </c>
      <c r="B224" s="60">
        <f>LN('Price Data'!B225/'Price Data'!B224)</f>
        <v>3.3785403844611497E-2</v>
      </c>
      <c r="C224" s="60">
        <f>LN('Price Data'!C225/'Price Data'!C224)</f>
        <v>1.6496668151881105E-3</v>
      </c>
      <c r="D224" s="60">
        <f>LN('Price Data'!D225/'Price Data'!D224)</f>
        <v>7.6029707140928436E-3</v>
      </c>
      <c r="E224" s="60">
        <f>LN('Price Data'!E225/'Price Data'!E224)</f>
        <v>-7.5167443324836401E-3</v>
      </c>
      <c r="F224" s="60">
        <f>LN('Price Data'!F225/'Price Data'!F224)</f>
        <v>-7.3943717414036133E-4</v>
      </c>
    </row>
    <row r="225" spans="1:6" x14ac:dyDescent="0.35">
      <c r="A225" s="2">
        <v>44894</v>
      </c>
      <c r="B225" s="60">
        <f>LN('Price Data'!B226/'Price Data'!B225)</f>
        <v>1.7153150913998142E-3</v>
      </c>
      <c r="C225" s="60">
        <f>LN('Price Data'!C226/'Price Data'!C225)</f>
        <v>6.1867837187657045E-4</v>
      </c>
      <c r="D225" s="60">
        <f>LN('Price Data'!D226/'Price Data'!D225)</f>
        <v>9.9249812932984613E-3</v>
      </c>
      <c r="E225" s="60">
        <f>LN('Price Data'!E226/'Price Data'!E225)</f>
        <v>3.4753391275303895E-3</v>
      </c>
      <c r="F225" s="60">
        <f>LN('Price Data'!F226/'Price Data'!F225)</f>
        <v>6.5765458143629265E-3</v>
      </c>
    </row>
    <row r="226" spans="1:6" x14ac:dyDescent="0.35">
      <c r="A226" s="2">
        <v>44895</v>
      </c>
      <c r="B226" s="60">
        <f>LN('Price Data'!B227/'Price Data'!B226)</f>
        <v>7.0336471018355926E-3</v>
      </c>
      <c r="C226" s="60">
        <f>LN('Price Data'!C227/'Price Data'!C226)</f>
        <v>-1.9297300592218934E-3</v>
      </c>
      <c r="D226" s="60">
        <f>LN('Price Data'!D227/'Price Data'!D226)</f>
        <v>6.474899572238204E-3</v>
      </c>
      <c r="E226" s="60">
        <f>LN('Price Data'!E227/'Price Data'!E226)</f>
        <v>3.6170861844828949E-3</v>
      </c>
      <c r="F226" s="60">
        <f>LN('Price Data'!F227/'Price Data'!F226)</f>
        <v>-6.724498883919303E-3</v>
      </c>
    </row>
    <row r="227" spans="1:6" x14ac:dyDescent="0.35">
      <c r="A227" s="2">
        <v>44896</v>
      </c>
      <c r="B227" s="60">
        <f>LN('Price Data'!B228/'Price Data'!B227)</f>
        <v>-2.9482701291231555E-3</v>
      </c>
      <c r="C227" s="60">
        <f>LN('Price Data'!C228/'Price Data'!C227)</f>
        <v>2.4715099299713311E-2</v>
      </c>
      <c r="D227" s="60">
        <f>LN('Price Data'!D228/'Price Data'!D227)</f>
        <v>-1.3417347764112296E-2</v>
      </c>
      <c r="E227" s="60">
        <f>LN('Price Data'!E228/'Price Data'!E227)</f>
        <v>1.3453282085235909E-2</v>
      </c>
      <c r="F227" s="60">
        <f>LN('Price Data'!F228/'Price Data'!F227)</f>
        <v>-1.3325636049977569E-3</v>
      </c>
    </row>
    <row r="228" spans="1:6" x14ac:dyDescent="0.35">
      <c r="A228" s="2">
        <v>44897</v>
      </c>
      <c r="B228" s="60">
        <f>LN('Price Data'!B229/'Price Data'!B228)</f>
        <v>-4.288286167218566E-4</v>
      </c>
      <c r="C228" s="60">
        <f>LN('Price Data'!C229/'Price Data'!C228)</f>
        <v>-1.0557074147161746E-2</v>
      </c>
      <c r="D228" s="60">
        <f>LN('Price Data'!D229/'Price Data'!D228)</f>
        <v>-1.0263079179482068E-2</v>
      </c>
      <c r="E228" s="60">
        <f>LN('Price Data'!E229/'Price Data'!E228)</f>
        <v>-1.1652703324311002E-2</v>
      </c>
      <c r="F228" s="60">
        <f>LN('Price Data'!F229/'Price Data'!F228)</f>
        <v>-7.0774650131134546E-3</v>
      </c>
    </row>
    <row r="229" spans="1:6" x14ac:dyDescent="0.35">
      <c r="A229" s="2">
        <v>44900</v>
      </c>
      <c r="B229" s="60">
        <f>LN('Price Data'!B230/'Price Data'!B229)</f>
        <v>-1.4690681190803063E-2</v>
      </c>
      <c r="C229" s="60">
        <f>LN('Price Data'!C230/'Price Data'!C229)</f>
        <v>-3.8580340849012269E-3</v>
      </c>
      <c r="D229" s="60">
        <f>LN('Price Data'!D230/'Price Data'!D229)</f>
        <v>3.2185415617981242E-3</v>
      </c>
      <c r="E229" s="60">
        <f>LN('Price Data'!E230/'Price Data'!E229)</f>
        <v>1.1290838439618292E-3</v>
      </c>
      <c r="F229" s="60">
        <f>LN('Price Data'!F230/'Price Data'!F229)</f>
        <v>-1.1944221910322275E-3</v>
      </c>
    </row>
    <row r="230" spans="1:6" x14ac:dyDescent="0.35">
      <c r="A230" s="2">
        <v>44901</v>
      </c>
      <c r="B230" s="60">
        <f>LN('Price Data'!B231/'Price Data'!B230)</f>
        <v>2.8866675777449355E-3</v>
      </c>
      <c r="C230" s="60">
        <f>LN('Price Data'!C231/'Price Data'!C230)</f>
        <v>-1.190943509814836E-2</v>
      </c>
      <c r="D230" s="60">
        <f>LN('Price Data'!D231/'Price Data'!D230)</f>
        <v>-1.1798116649859285E-2</v>
      </c>
      <c r="E230" s="60">
        <f>LN('Price Data'!E231/'Price Data'!E230)</f>
        <v>-1.651029025871251E-2</v>
      </c>
      <c r="F230" s="60">
        <f>LN('Price Data'!F231/'Price Data'!F230)</f>
        <v>1.6121331411327086E-3</v>
      </c>
    </row>
    <row r="231" spans="1:6" x14ac:dyDescent="0.35">
      <c r="A231" s="2">
        <v>44902</v>
      </c>
      <c r="B231" s="60">
        <f>LN('Price Data'!B232/'Price Data'!B231)</f>
        <v>-1.4866420725839234E-2</v>
      </c>
      <c r="C231" s="60">
        <f>LN('Price Data'!C232/'Price Data'!C231)</f>
        <v>-1.4028116094833279E-3</v>
      </c>
      <c r="D231" s="60">
        <f>LN('Price Data'!D232/'Price Data'!D231)</f>
        <v>-5.4206419367197546E-4</v>
      </c>
      <c r="E231" s="60">
        <f>LN('Price Data'!E232/'Price Data'!E231)</f>
        <v>-4.5994906668342019E-3</v>
      </c>
      <c r="F231" s="60">
        <f>LN('Price Data'!F232/'Price Data'!F231)</f>
        <v>8.2882019202505236E-3</v>
      </c>
    </row>
    <row r="232" spans="1:6" x14ac:dyDescent="0.35">
      <c r="A232" s="2">
        <v>44903</v>
      </c>
      <c r="B232" s="60">
        <f>LN('Price Data'!B233/'Price Data'!B232)</f>
        <v>-4.7387258702545274E-4</v>
      </c>
      <c r="C232" s="60">
        <f>LN('Price Data'!C233/'Price Data'!C232)</f>
        <v>-8.929446517770773E-3</v>
      </c>
      <c r="D232" s="60">
        <f>LN('Price Data'!D233/'Price Data'!D232)</f>
        <v>1.051761266279477E-2</v>
      </c>
      <c r="E232" s="60">
        <f>LN('Price Data'!E233/'Price Data'!E232)</f>
        <v>9.0848213506599974E-3</v>
      </c>
      <c r="F232" s="60">
        <f>LN('Price Data'!F233/'Price Data'!F232)</f>
        <v>-5.0122444964701184E-3</v>
      </c>
    </row>
    <row r="233" spans="1:6" x14ac:dyDescent="0.35">
      <c r="A233" s="2">
        <v>44904</v>
      </c>
      <c r="B233" s="60">
        <f>LN('Price Data'!B234/'Price Data'!B233)</f>
        <v>-1.526683247528135E-2</v>
      </c>
      <c r="C233" s="60">
        <f>LN('Price Data'!C234/'Price Data'!C233)</f>
        <v>-1.7401081218735515E-2</v>
      </c>
      <c r="D233" s="60">
        <f>LN('Price Data'!D234/'Price Data'!D233)</f>
        <v>-2.1484593074582426E-3</v>
      </c>
      <c r="E233" s="60">
        <f>LN('Price Data'!E234/'Price Data'!E233)</f>
        <v>-3.1885863612695853E-2</v>
      </c>
      <c r="F233" s="60">
        <f>LN('Price Data'!F234/'Price Data'!F233)</f>
        <v>8.8213229655341417E-3</v>
      </c>
    </row>
    <row r="234" spans="1:6" x14ac:dyDescent="0.35">
      <c r="A234" s="2">
        <v>44907</v>
      </c>
      <c r="B234" s="60">
        <f>LN('Price Data'!B235/'Price Data'!B234)</f>
        <v>1.5270978411798572E-3</v>
      </c>
      <c r="C234" s="60">
        <f>LN('Price Data'!C235/'Price Data'!C234)</f>
        <v>-1.9162376576050781E-3</v>
      </c>
      <c r="D234" s="60">
        <f>LN('Price Data'!D235/'Price Data'!D234)</f>
        <v>4.3006129036124614E-4</v>
      </c>
      <c r="E234" s="60">
        <f>LN('Price Data'!E235/'Price Data'!E234)</f>
        <v>-1.4185275808305198E-2</v>
      </c>
      <c r="F234" s="60">
        <f>LN('Price Data'!F235/'Price Data'!F234)</f>
        <v>5.2615456254540404E-3</v>
      </c>
    </row>
    <row r="235" spans="1:6" x14ac:dyDescent="0.35">
      <c r="A235" s="2">
        <v>44908</v>
      </c>
      <c r="B235" s="60">
        <f>LN('Price Data'!B236/'Price Data'!B235)</f>
        <v>4.5421742544140978E-3</v>
      </c>
      <c r="C235" s="60">
        <f>LN('Price Data'!C236/'Price Data'!C235)</f>
        <v>1.3795629202621848E-2</v>
      </c>
      <c r="D235" s="60">
        <f>LN('Price Data'!D236/'Price Data'!D235)</f>
        <v>2.8444940687452191E-3</v>
      </c>
      <c r="E235" s="60">
        <f>LN('Price Data'!E236/'Price Data'!E235)</f>
        <v>1.5997143070951226E-2</v>
      </c>
      <c r="F235" s="60">
        <f>LN('Price Data'!F236/'Price Data'!F235)</f>
        <v>6.9531963796839518E-3</v>
      </c>
    </row>
    <row r="236" spans="1:6" x14ac:dyDescent="0.35">
      <c r="A236" s="2">
        <v>44909</v>
      </c>
      <c r="B236" s="60">
        <f>LN('Price Data'!B237/'Price Data'!B236)</f>
        <v>-3.6236645349536504E-3</v>
      </c>
      <c r="C236" s="60">
        <f>LN('Price Data'!C237/'Price Data'!C236)</f>
        <v>9.9293766728937374E-3</v>
      </c>
      <c r="D236" s="60">
        <f>LN('Price Data'!D237/'Price Data'!D236)</f>
        <v>-1.2077571729004113E-2</v>
      </c>
      <c r="E236" s="60">
        <f>LN('Price Data'!E237/'Price Data'!E236)</f>
        <v>4.6013183110556483E-3</v>
      </c>
      <c r="F236" s="60">
        <f>LN('Price Data'!F237/'Price Data'!F236)</f>
        <v>-5.5331480655087064E-4</v>
      </c>
    </row>
    <row r="237" spans="1:6" x14ac:dyDescent="0.35">
      <c r="A237" s="2">
        <v>44910</v>
      </c>
      <c r="B237" s="60">
        <f>LN('Price Data'!B238/'Price Data'!B237)</f>
        <v>-1.430268184730891E-2</v>
      </c>
      <c r="C237" s="60">
        <f>LN('Price Data'!C238/'Price Data'!C237)</f>
        <v>-1.8064801178548674E-2</v>
      </c>
      <c r="D237" s="60">
        <f>LN('Price Data'!D238/'Price Data'!D237)</f>
        <v>-1.4148989147367017E-2</v>
      </c>
      <c r="E237" s="60">
        <f>LN('Price Data'!E238/'Price Data'!E237)</f>
        <v>-2.4936665163340647E-2</v>
      </c>
      <c r="F237" s="60">
        <f>LN('Price Data'!F238/'Price Data'!F237)</f>
        <v>-1.9175366231057537E-2</v>
      </c>
    </row>
    <row r="238" spans="1:6" x14ac:dyDescent="0.35">
      <c r="A238" s="2">
        <v>44911</v>
      </c>
      <c r="B238" s="60">
        <f>LN('Price Data'!B239/'Price Data'!B238)</f>
        <v>-4.9593461789027155E-3</v>
      </c>
      <c r="C238" s="60">
        <f>LN('Price Data'!C239/'Price Data'!C238)</f>
        <v>-1.9816458822054284E-2</v>
      </c>
      <c r="D238" s="60">
        <f>LN('Price Data'!D239/'Price Data'!D238)</f>
        <v>-7.5105279042631942E-3</v>
      </c>
      <c r="E238" s="60">
        <f>LN('Price Data'!E239/'Price Data'!E238)</f>
        <v>-1.1952045717630229E-2</v>
      </c>
      <c r="F238" s="60">
        <f>LN('Price Data'!F239/'Price Data'!F238)</f>
        <v>-1.1107575907487142E-2</v>
      </c>
    </row>
    <row r="239" spans="1:6" x14ac:dyDescent="0.35">
      <c r="A239" s="2">
        <v>44914</v>
      </c>
      <c r="B239" s="60">
        <f>LN('Price Data'!B240/'Price Data'!B239)</f>
        <v>1.3052008702854187E-2</v>
      </c>
      <c r="C239" s="60">
        <f>LN('Price Data'!C240/'Price Data'!C239)</f>
        <v>-1.1859613615894243E-2</v>
      </c>
      <c r="D239" s="60">
        <f>LN('Price Data'!D240/'Price Data'!D239)</f>
        <v>4.9213514130535168E-3</v>
      </c>
      <c r="E239" s="60">
        <f>LN('Price Data'!E240/'Price Data'!E239)</f>
        <v>-9.8056598489815617E-3</v>
      </c>
      <c r="F239" s="60">
        <f>LN('Price Data'!F240/'Price Data'!F239)</f>
        <v>-3.953422874063707E-2</v>
      </c>
    </row>
    <row r="240" spans="1:6" x14ac:dyDescent="0.35">
      <c r="A240" s="2">
        <v>44915</v>
      </c>
      <c r="B240" s="60">
        <f>LN('Price Data'!B241/'Price Data'!B240)</f>
        <v>8.6160507024573858E-3</v>
      </c>
      <c r="C240" s="60">
        <f>LN('Price Data'!C241/'Price Data'!C240)</f>
        <v>1.3000908207976855E-2</v>
      </c>
      <c r="D240" s="60">
        <f>LN('Price Data'!D241/'Price Data'!D240)</f>
        <v>3.5790033523390111E-3</v>
      </c>
      <c r="E240" s="60">
        <f>LN('Price Data'!E241/'Price Data'!E240)</f>
        <v>-3.3358352100644662E-5</v>
      </c>
      <c r="F240" s="60">
        <f>LN('Price Data'!F241/'Price Data'!F240)</f>
        <v>-1.0000625872554291E-3</v>
      </c>
    </row>
    <row r="241" spans="1:6" x14ac:dyDescent="0.35">
      <c r="A241" s="2">
        <v>44916</v>
      </c>
      <c r="B241" s="60">
        <f>LN('Price Data'!B242/'Price Data'!B241)</f>
        <v>-1.4327729242092533E-2</v>
      </c>
      <c r="C241" s="60">
        <f>LN('Price Data'!C242/'Price Data'!C241)</f>
        <v>7.5546177836087226E-3</v>
      </c>
      <c r="D241" s="60">
        <f>LN('Price Data'!D242/'Price Data'!D241)</f>
        <v>-1.9368512457746484E-2</v>
      </c>
      <c r="E241" s="60">
        <f>LN('Price Data'!E242/'Price Data'!E241)</f>
        <v>1.4933634781308352E-3</v>
      </c>
      <c r="F241" s="60">
        <f>LN('Price Data'!F242/'Price Data'!F241)</f>
        <v>-1.4836553314802811E-2</v>
      </c>
    </row>
    <row r="242" spans="1:6" x14ac:dyDescent="0.35">
      <c r="A242" s="2">
        <v>44917</v>
      </c>
      <c r="B242" s="60">
        <f>LN('Price Data'!B243/'Price Data'!B242)</f>
        <v>-2.5946108132402315E-3</v>
      </c>
      <c r="C242" s="60">
        <f>LN('Price Data'!C243/'Price Data'!C242)</f>
        <v>-2.7099479148418731E-3</v>
      </c>
      <c r="D242" s="60">
        <f>LN('Price Data'!D243/'Price Data'!D242)</f>
        <v>-1.7948291317757829E-3</v>
      </c>
      <c r="E242" s="60">
        <f>LN('Price Data'!E243/'Price Data'!E242)</f>
        <v>8.2465529155835993E-3</v>
      </c>
      <c r="F242" s="60">
        <f>LN('Price Data'!F243/'Price Data'!F242)</f>
        <v>-8.0613478024457192E-3</v>
      </c>
    </row>
    <row r="243" spans="1:6" x14ac:dyDescent="0.35">
      <c r="A243" s="2">
        <v>44918</v>
      </c>
      <c r="B243" s="60">
        <f>LN('Price Data'!B244/'Price Data'!B243)</f>
        <v>-2.976854273076605E-2</v>
      </c>
      <c r="C243" s="60">
        <f>LN('Price Data'!C244/'Price Data'!C243)</f>
        <v>-9.6652995501421823E-3</v>
      </c>
      <c r="D243" s="60">
        <f>LN('Price Data'!D244/'Price Data'!D243)</f>
        <v>-1.3280407667894378E-2</v>
      </c>
      <c r="E243" s="60">
        <f>LN('Price Data'!E244/'Price Data'!E243)</f>
        <v>-1.6528090647611651E-2</v>
      </c>
      <c r="F243" s="60">
        <f>LN('Price Data'!F244/'Price Data'!F243)</f>
        <v>-1.7459096159212331E-2</v>
      </c>
    </row>
    <row r="244" spans="1:6" x14ac:dyDescent="0.35">
      <c r="A244" s="2">
        <v>44921</v>
      </c>
      <c r="B244" s="60">
        <f>LN('Price Data'!B245/'Price Data'!B244)</f>
        <v>8.6958594214286353E-3</v>
      </c>
      <c r="C244" s="60">
        <f>LN('Price Data'!C245/'Price Data'!C244)</f>
        <v>7.5752307046926216E-3</v>
      </c>
      <c r="D244" s="60">
        <f>LN('Price Data'!D245/'Price Data'!D244)</f>
        <v>1.6139394395403454E-2</v>
      </c>
      <c r="E244" s="60">
        <f>LN('Price Data'!E245/'Price Data'!E244)</f>
        <v>3.5337265917484229E-3</v>
      </c>
      <c r="F244" s="60">
        <f>LN('Price Data'!F245/'Price Data'!F244)</f>
        <v>2.390065036934234E-2</v>
      </c>
    </row>
    <row r="245" spans="1:6" x14ac:dyDescent="0.35">
      <c r="A245" s="2">
        <v>44922</v>
      </c>
      <c r="B245" s="60">
        <f>LN('Price Data'!B246/'Price Data'!B245)</f>
        <v>8.1448610726116352E-3</v>
      </c>
      <c r="C245" s="60">
        <f>LN('Price Data'!C246/'Price Data'!C245)</f>
        <v>2.0271787301829073E-3</v>
      </c>
      <c r="D245" s="60">
        <f>LN('Price Data'!D246/'Price Data'!D245)</f>
        <v>8.306204903564483E-3</v>
      </c>
      <c r="E245" s="60">
        <f>LN('Price Data'!E246/'Price Data'!E245)</f>
        <v>8.252444895816443E-3</v>
      </c>
      <c r="F245" s="60">
        <f>LN('Price Data'!F246/'Price Data'!F245)</f>
        <v>-4.3642456540488334E-3</v>
      </c>
    </row>
    <row r="246" spans="1:6" x14ac:dyDescent="0.35">
      <c r="A246" s="2">
        <v>44923</v>
      </c>
      <c r="B246" s="60">
        <f>LN('Price Data'!B247/'Price Data'!B246)</f>
        <v>-9.5233560378504384E-5</v>
      </c>
      <c r="C246" s="60">
        <f>LN('Price Data'!C247/'Price Data'!C246)</f>
        <v>-7.3610834811695884E-4</v>
      </c>
      <c r="D246" s="60">
        <f>LN('Price Data'!D247/'Price Data'!D246)</f>
        <v>-1.8893092972633967E-3</v>
      </c>
      <c r="E246" s="60">
        <f>LN('Price Data'!E247/'Price Data'!E246)</f>
        <v>-3.1050040737186694E-3</v>
      </c>
      <c r="F246" s="60">
        <f>LN('Price Data'!F247/'Price Data'!F246)</f>
        <v>3.7601216948792314E-3</v>
      </c>
    </row>
    <row r="247" spans="1:6" x14ac:dyDescent="0.35">
      <c r="A247" s="2">
        <v>44924</v>
      </c>
      <c r="B247" s="60">
        <f>LN('Price Data'!B248/'Price Data'!B247)</f>
        <v>-4.5031782807162851E-4</v>
      </c>
      <c r="C247" s="60">
        <f>LN('Price Data'!C248/'Price Data'!C247)</f>
        <v>3.5716623563957816E-3</v>
      </c>
      <c r="D247" s="60">
        <f>LN('Price Data'!D248/'Price Data'!D247)</f>
        <v>1.0072027592203502E-2</v>
      </c>
      <c r="E247" s="60">
        <f>LN('Price Data'!E248/'Price Data'!E247)</f>
        <v>4.889173200690101E-3</v>
      </c>
      <c r="F247" s="60">
        <f>LN('Price Data'!F248/'Price Data'!F247)</f>
        <v>2.8266998860072491E-3</v>
      </c>
    </row>
    <row r="248" spans="1:6" x14ac:dyDescent="0.35">
      <c r="A248" s="2">
        <v>44925</v>
      </c>
      <c r="B248" s="60">
        <f>LN('Price Data'!B249/'Price Data'!B248)</f>
        <v>1.5319836988126302E-3</v>
      </c>
      <c r="C248" s="60">
        <f>LN('Price Data'!C249/'Price Data'!C248)</f>
        <v>-3.6943997787178065E-3</v>
      </c>
      <c r="D248" s="60">
        <f>LN('Price Data'!D249/'Price Data'!D248)</f>
        <v>-1.9123380034528618E-2</v>
      </c>
      <c r="E248" s="60">
        <f>LN('Price Data'!E249/'Price Data'!E248)</f>
        <v>-6.1818862118864139E-3</v>
      </c>
      <c r="F248" s="60">
        <f>LN('Price Data'!F249/'Price Data'!F248)</f>
        <v>-1.1387138018350033E-2</v>
      </c>
    </row>
    <row r="249" spans="1:6" x14ac:dyDescent="0.35">
      <c r="A249" s="2">
        <v>44928</v>
      </c>
      <c r="B249" s="60">
        <f>LN('Price Data'!B250/'Price Data'!B249)</f>
        <v>1.1206164922952242E-2</v>
      </c>
      <c r="C249" s="60">
        <f>LN('Price Data'!C250/'Price Data'!C249)</f>
        <v>1.4561422358545485E-3</v>
      </c>
      <c r="D249" s="60">
        <f>LN('Price Data'!D250/'Price Data'!D249)</f>
        <v>1.2937223880278455E-2</v>
      </c>
      <c r="E249" s="60">
        <f>LN('Price Data'!E250/'Price Data'!E249)</f>
        <v>1.0420595686933279E-2</v>
      </c>
      <c r="F249" s="60">
        <f>LN('Price Data'!F250/'Price Data'!F249)</f>
        <v>3.906004838045271E-3</v>
      </c>
    </row>
    <row r="250" spans="1:6" x14ac:dyDescent="0.35">
      <c r="A250" s="2">
        <v>44929</v>
      </c>
      <c r="B250" s="60">
        <f>LN('Price Data'!B251/'Price Data'!B250)</f>
        <v>-7.3476725421574591E-3</v>
      </c>
      <c r="C250" s="60">
        <f>LN('Price Data'!C251/'Price Data'!C250)</f>
        <v>1.5186043617478167E-2</v>
      </c>
      <c r="D250" s="60">
        <f>LN('Price Data'!D251/'Price Data'!D250)</f>
        <v>-1.2196475622107779E-3</v>
      </c>
      <c r="E250" s="60">
        <f>LN('Price Data'!E251/'Price Data'!E250)</f>
        <v>-9.5065827036330797E-4</v>
      </c>
      <c r="F250" s="60">
        <f>LN('Price Data'!F251/'Price Data'!F250)</f>
        <v>-5.2542330854137174E-3</v>
      </c>
    </row>
    <row r="251" spans="1:6" x14ac:dyDescent="0.35">
      <c r="A251" s="2">
        <v>44930</v>
      </c>
      <c r="B251" s="60">
        <f>LN('Price Data'!B252/'Price Data'!B251)</f>
        <v>-1.5174165700741446E-2</v>
      </c>
      <c r="C251" s="60">
        <f>LN('Price Data'!C252/'Price Data'!C251)</f>
        <v>9.9621015277390852E-4</v>
      </c>
      <c r="D251" s="60">
        <f>LN('Price Data'!D252/'Price Data'!D251)</f>
        <v>-2.4993764573194707E-3</v>
      </c>
      <c r="E251" s="60">
        <f>LN('Price Data'!E252/'Price Data'!E251)</f>
        <v>-1.8397820652410364E-2</v>
      </c>
      <c r="F251" s="60">
        <f>LN('Price Data'!F252/'Price Data'!F251)</f>
        <v>-1.2476727885818096E-2</v>
      </c>
    </row>
    <row r="252" spans="1:6" x14ac:dyDescent="0.35">
      <c r="A252" s="2">
        <v>44931</v>
      </c>
      <c r="B252" s="60">
        <f>LN('Price Data'!B253/'Price Data'!B252)</f>
        <v>-1.785996167343403E-3</v>
      </c>
      <c r="C252" s="60">
        <f>LN('Price Data'!C253/'Price Data'!C252)</f>
        <v>-1.0735971948167015E-3</v>
      </c>
      <c r="D252" s="60">
        <f>LN('Price Data'!D253/'Price Data'!D252)</f>
        <v>-2.2438731400179292E-2</v>
      </c>
      <c r="E252" s="60">
        <f>LN('Price Data'!E253/'Price Data'!E252)</f>
        <v>-1.3198762720929695E-2</v>
      </c>
      <c r="F252" s="60">
        <f>LN('Price Data'!F253/'Price Data'!F252)</f>
        <v>1.9550681491897353E-2</v>
      </c>
    </row>
    <row r="253" spans="1:6" x14ac:dyDescent="0.35">
      <c r="A253" s="2">
        <v>44932</v>
      </c>
      <c r="B253" s="60">
        <f>LN('Price Data'!B254/'Price Data'!B253)</f>
        <v>9.0458883472973386E-3</v>
      </c>
      <c r="C253" s="60">
        <f>LN('Price Data'!C254/'Price Data'!C253)</f>
        <v>-3.0525685342157025E-2</v>
      </c>
      <c r="D253" s="60">
        <f>LN('Price Data'!D254/'Price Data'!D253)</f>
        <v>-1.0347384018569187E-2</v>
      </c>
      <c r="E253" s="60">
        <f>LN('Price Data'!E254/'Price Data'!E253)</f>
        <v>-1.826481393004559E-2</v>
      </c>
      <c r="F253" s="60">
        <f>LN('Price Data'!F254/'Price Data'!F253)</f>
        <v>4.7729749822132466E-3</v>
      </c>
    </row>
    <row r="254" spans="1:6" x14ac:dyDescent="0.35">
      <c r="A254" s="2">
        <v>44935</v>
      </c>
      <c r="B254" s="60">
        <f>LN('Price Data'!B255/'Price Data'!B254)</f>
        <v>2.333680978813624E-2</v>
      </c>
      <c r="C254" s="60">
        <f>LN('Price Data'!C255/'Price Data'!C254)</f>
        <v>3.3196714626626336E-2</v>
      </c>
      <c r="D254" s="60">
        <f>LN('Price Data'!D255/'Price Data'!D254)</f>
        <v>3.7282443024231229E-3</v>
      </c>
      <c r="E254" s="60">
        <f>LN('Price Data'!E255/'Price Data'!E254)</f>
        <v>2.45168305163374E-2</v>
      </c>
      <c r="F254" s="60">
        <f>LN('Price Data'!F255/'Price Data'!F254)</f>
        <v>8.9119826327541951E-3</v>
      </c>
    </row>
    <row r="255" spans="1:6" x14ac:dyDescent="0.35">
      <c r="A255" s="2">
        <v>44936</v>
      </c>
      <c r="B255" s="60">
        <f>LN('Price Data'!B256/'Price Data'!B255)</f>
        <v>-1.4897138438678351E-2</v>
      </c>
      <c r="C255" s="60">
        <f>LN('Price Data'!C256/'Price Data'!C255)</f>
        <v>-1.0156277906977365E-2</v>
      </c>
      <c r="D255" s="60">
        <f>LN('Price Data'!D256/'Price Data'!D255)</f>
        <v>-1.3835465982023638E-2</v>
      </c>
      <c r="E255" s="60">
        <f>LN('Price Data'!E256/'Price Data'!E255)</f>
        <v>-9.9536503495083941E-3</v>
      </c>
      <c r="F255" s="60">
        <f>LN('Price Data'!F256/'Price Data'!F255)</f>
        <v>-1.3844449792214098E-2</v>
      </c>
    </row>
    <row r="256" spans="1:6" x14ac:dyDescent="0.35">
      <c r="A256" s="2">
        <v>44937</v>
      </c>
      <c r="B256" s="60">
        <f>LN('Price Data'!B257/'Price Data'!B256)</f>
        <v>-1.2686368706591197E-2</v>
      </c>
      <c r="C256" s="60">
        <f>LN('Price Data'!C257/'Price Data'!C256)</f>
        <v>1.2786320785260865E-2</v>
      </c>
      <c r="D256" s="60">
        <f>LN('Price Data'!D257/'Price Data'!D256)</f>
        <v>5.7303430037163794E-3</v>
      </c>
      <c r="E256" s="60">
        <f>LN('Price Data'!E257/'Price Data'!E256)</f>
        <v>1.0258094535415638E-3</v>
      </c>
      <c r="F256" s="60">
        <f>LN('Price Data'!F257/'Price Data'!F256)</f>
        <v>-4.8286872518320091E-3</v>
      </c>
    </row>
    <row r="257" spans="1:6" x14ac:dyDescent="0.35">
      <c r="A257" s="2">
        <v>44938</v>
      </c>
      <c r="B257" s="60">
        <f>LN('Price Data'!B258/'Price Data'!B257)</f>
        <v>-2.1829114784916746E-2</v>
      </c>
      <c r="C257" s="60">
        <f>LN('Price Data'!C258/'Price Data'!C257)</f>
        <v>1.6982947299756111E-3</v>
      </c>
      <c r="D257" s="60">
        <f>LN('Price Data'!D258/'Price Data'!D257)</f>
        <v>-6.543351178579686E-3</v>
      </c>
      <c r="E257" s="60">
        <f>LN('Price Data'!E258/'Price Data'!E257)</f>
        <v>6.3298466046058065E-3</v>
      </c>
      <c r="F257" s="60">
        <f>LN('Price Data'!F258/'Price Data'!F257)</f>
        <v>-5.8834100490613673E-3</v>
      </c>
    </row>
    <row r="258" spans="1:6" x14ac:dyDescent="0.35">
      <c r="A258" s="2">
        <v>44939</v>
      </c>
      <c r="B258" s="60">
        <f>LN('Price Data'!B259/'Price Data'!B258)</f>
        <v>-1.6145941376951723E-3</v>
      </c>
      <c r="C258" s="60">
        <f>LN('Price Data'!C259/'Price Data'!C258)</f>
        <v>1.1984168802390931E-2</v>
      </c>
      <c r="D258" s="60">
        <f>LN('Price Data'!D259/'Price Data'!D258)</f>
        <v>1.4762969233723864E-2</v>
      </c>
      <c r="E258" s="60">
        <f>LN('Price Data'!E259/'Price Data'!E258)</f>
        <v>1.5447549317502285E-2</v>
      </c>
      <c r="F258" s="60">
        <f>LN('Price Data'!F259/'Price Data'!F258)</f>
        <v>-3.3267152751652019E-3</v>
      </c>
    </row>
    <row r="259" spans="1:6" x14ac:dyDescent="0.35">
      <c r="A259" s="2">
        <v>44942</v>
      </c>
      <c r="B259" s="60">
        <f>LN('Price Data'!B260/'Price Data'!B259)</f>
        <v>-9.5714253944713962E-3</v>
      </c>
      <c r="C259" s="60">
        <f>LN('Price Data'!C260/'Price Data'!C259)</f>
        <v>7.9776915812901864E-3</v>
      </c>
      <c r="D259" s="60">
        <f>LN('Price Data'!D260/'Price Data'!D259)</f>
        <v>-9.4324044357850228E-3</v>
      </c>
      <c r="E259" s="60">
        <f>LN('Price Data'!E260/'Price Data'!E259)</f>
        <v>1.4428386827424025E-2</v>
      </c>
      <c r="F259" s="60">
        <f>LN('Price Data'!F260/'Price Data'!F259)</f>
        <v>4.3902194602264168E-3</v>
      </c>
    </row>
    <row r="260" spans="1:6" x14ac:dyDescent="0.35">
      <c r="A260" s="2">
        <v>44943</v>
      </c>
      <c r="B260" s="60">
        <f>LN('Price Data'!B261/'Price Data'!B260)</f>
        <v>1.4096400603276245E-2</v>
      </c>
      <c r="C260" s="60">
        <f>LN('Price Data'!C261/'Price Data'!C260)</f>
        <v>1.3215807429906948E-2</v>
      </c>
      <c r="D260" s="60">
        <f>LN('Price Data'!D261/'Price Data'!D260)</f>
        <v>-1.1558021279634045E-4</v>
      </c>
      <c r="E260" s="60">
        <f>LN('Price Data'!E261/'Price Data'!E260)</f>
        <v>9.1344612138432365E-3</v>
      </c>
      <c r="F260" s="60">
        <f>LN('Price Data'!F261/'Price Data'!F260)</f>
        <v>6.1973386116170983E-3</v>
      </c>
    </row>
    <row r="261" spans="1:6" x14ac:dyDescent="0.35">
      <c r="A261" s="2">
        <v>44944</v>
      </c>
      <c r="B261" s="60">
        <f>LN('Price Data'!B262/'Price Data'!B261)</f>
        <v>-1.6544072369137134E-3</v>
      </c>
      <c r="C261" s="60">
        <f>LN('Price Data'!C262/'Price Data'!C261)</f>
        <v>3.425769026807972E-3</v>
      </c>
      <c r="D261" s="60">
        <f>LN('Price Data'!D262/'Price Data'!D261)</f>
        <v>5.0154314916803517E-3</v>
      </c>
      <c r="E261" s="60">
        <f>LN('Price Data'!E262/'Price Data'!E261)</f>
        <v>3.8270882965105589E-3</v>
      </c>
      <c r="F261" s="60">
        <f>LN('Price Data'!F262/'Price Data'!F261)</f>
        <v>7.1767209136398644E-3</v>
      </c>
    </row>
    <row r="262" spans="1:6" x14ac:dyDescent="0.35">
      <c r="A262" s="2">
        <v>44945</v>
      </c>
      <c r="B262" s="60">
        <f>LN('Price Data'!B263/'Price Data'!B262)</f>
        <v>-1.0688138965710577E-3</v>
      </c>
      <c r="C262" s="60">
        <f>LN('Price Data'!C263/'Price Data'!C262)</f>
        <v>-4.9971137423931939E-3</v>
      </c>
      <c r="D262" s="60">
        <f>LN('Price Data'!D263/'Price Data'!D262)</f>
        <v>-3.8602300693878436E-3</v>
      </c>
      <c r="E262" s="60">
        <f>LN('Price Data'!E263/'Price Data'!E262)</f>
        <v>-4.2125643478674096E-3</v>
      </c>
      <c r="F262" s="60">
        <f>LN('Price Data'!F263/'Price Data'!F262)</f>
        <v>-7.4968848403035989E-3</v>
      </c>
    </row>
    <row r="263" spans="1:6" x14ac:dyDescent="0.35">
      <c r="A263" s="2">
        <v>44946</v>
      </c>
      <c r="B263" s="60">
        <f>LN('Price Data'!B264/'Price Data'!B263)</f>
        <v>-1.1968245846266434E-2</v>
      </c>
      <c r="C263" s="60">
        <f>LN('Price Data'!C264/'Price Data'!C263)</f>
        <v>-2.9678790130996079E-3</v>
      </c>
      <c r="D263" s="60">
        <f>LN('Price Data'!D264/'Price Data'!D263)</f>
        <v>4.8373258737682921E-3</v>
      </c>
      <c r="E263" s="60">
        <f>LN('Price Data'!E264/'Price Data'!E263)</f>
        <v>-8.7160248302432901E-3</v>
      </c>
      <c r="F263" s="60">
        <f>LN('Price Data'!F264/'Price Data'!F263)</f>
        <v>7.3697473409271895E-3</v>
      </c>
    </row>
    <row r="264" spans="1:6" x14ac:dyDescent="0.35">
      <c r="A264" s="2">
        <v>44949</v>
      </c>
      <c r="B264" s="60">
        <f>LN('Price Data'!B265/'Price Data'!B264)</f>
        <v>-5.0724124002352062E-3</v>
      </c>
      <c r="C264" s="60">
        <f>LN('Price Data'!C265/'Price Data'!C264)</f>
        <v>1.5284716409507177E-2</v>
      </c>
      <c r="D264" s="60">
        <f>LN('Price Data'!D265/'Price Data'!D264)</f>
        <v>1.5498984188120205E-3</v>
      </c>
      <c r="E264" s="60">
        <f>LN('Price Data'!E265/'Price Data'!E264)</f>
        <v>1.4606060101948433E-2</v>
      </c>
      <c r="F264" s="60">
        <f>LN('Price Data'!F265/'Price Data'!F264)</f>
        <v>9.3647862327351662E-3</v>
      </c>
    </row>
    <row r="265" spans="1:6" x14ac:dyDescent="0.35">
      <c r="A265" s="2">
        <v>44950</v>
      </c>
      <c r="B265" s="60">
        <f>LN('Price Data'!B266/'Price Data'!B265)</f>
        <v>-5.9186026353490991E-3</v>
      </c>
      <c r="C265" s="60">
        <f>LN('Price Data'!C266/'Price Data'!C265)</f>
        <v>6.2467209992252302E-3</v>
      </c>
      <c r="D265" s="60">
        <f>LN('Price Data'!D266/'Price Data'!D265)</f>
        <v>-1.0904187714198409E-3</v>
      </c>
      <c r="E265" s="60">
        <f>LN('Price Data'!E266/'Price Data'!E265)</f>
        <v>2.5174221410386244E-3</v>
      </c>
      <c r="F265" s="60">
        <f>LN('Price Data'!F266/'Price Data'!F265)</f>
        <v>3.5520666031190608E-3</v>
      </c>
    </row>
    <row r="266" spans="1:6" x14ac:dyDescent="0.35">
      <c r="A266" s="2">
        <v>44951</v>
      </c>
      <c r="B266" s="60">
        <f>LN('Price Data'!B267/'Price Data'!B266)</f>
        <v>-1.3920102832987412E-2</v>
      </c>
      <c r="C266" s="60">
        <f>LN('Price Data'!C267/'Price Data'!C266)</f>
        <v>-1.9080010119388677E-3</v>
      </c>
      <c r="D266" s="60">
        <f>LN('Price Data'!D267/'Price Data'!D266)</f>
        <v>-1.7902624659374675E-2</v>
      </c>
      <c r="E266" s="60">
        <f>LN('Price Data'!E267/'Price Data'!E266)</f>
        <v>-5.7513440203932776E-3</v>
      </c>
      <c r="F266" s="60">
        <f>LN('Price Data'!F267/'Price Data'!F266)</f>
        <v>8.7821101526203225E-4</v>
      </c>
    </row>
    <row r="267" spans="1:6" x14ac:dyDescent="0.35">
      <c r="A267" s="2">
        <v>44953</v>
      </c>
      <c r="B267" s="60">
        <f>LN('Price Data'!B268/'Price Data'!B267)</f>
        <v>-1.9155778268500116E-2</v>
      </c>
      <c r="C267" s="60">
        <f>LN('Price Data'!C268/'Price Data'!C267)</f>
        <v>-5.4661075261706821E-3</v>
      </c>
      <c r="D267" s="60">
        <f>LN('Price Data'!D268/'Price Data'!D267)</f>
        <v>-4.5568421643268901E-2</v>
      </c>
      <c r="E267" s="60">
        <f>LN('Price Data'!E268/'Price Data'!E267)</f>
        <v>-1.5573436497803489E-2</v>
      </c>
      <c r="F267" s="60">
        <f>LN('Price Data'!F268/'Price Data'!F267)</f>
        <v>1.9712258823280652E-2</v>
      </c>
    </row>
    <row r="268" spans="1:6" x14ac:dyDescent="0.35">
      <c r="A268" s="2">
        <v>44956</v>
      </c>
      <c r="B268" s="60">
        <f>LN('Price Data'!B269/'Price Data'!B268)</f>
        <v>9.5397388814030763E-3</v>
      </c>
      <c r="C268" s="60">
        <f>LN('Price Data'!C269/'Price Data'!C268)</f>
        <v>6.601982257108497E-3</v>
      </c>
      <c r="D268" s="60">
        <f>LN('Price Data'!D269/'Price Data'!D268)</f>
        <v>7.6796866742279155E-3</v>
      </c>
      <c r="E268" s="60">
        <f>LN('Price Data'!E269/'Price Data'!E268)</f>
        <v>1.2851973452109589E-2</v>
      </c>
      <c r="F268" s="60">
        <f>LN('Price Data'!F269/'Price Data'!F268)</f>
        <v>-3.4795496300307027E-3</v>
      </c>
    </row>
    <row r="269" spans="1:6" x14ac:dyDescent="0.35">
      <c r="A269" s="2">
        <v>44957</v>
      </c>
      <c r="B269" s="60">
        <f>LN('Price Data'!B270/'Price Data'!B269)</f>
        <v>-2.5050956249922187E-3</v>
      </c>
      <c r="C269" s="60">
        <f>LN('Price Data'!C270/'Price Data'!C269)</f>
        <v>-2.2068571791828227E-2</v>
      </c>
      <c r="D269" s="60">
        <f>LN('Price Data'!D270/'Price Data'!D269)</f>
        <v>1.0148691672147029E-2</v>
      </c>
      <c r="E269" s="60">
        <f>LN('Price Data'!E270/'Price Data'!E269)</f>
        <v>-3.2860529546451405E-3</v>
      </c>
      <c r="F269" s="60">
        <f>LN('Price Data'!F270/'Price Data'!F269)</f>
        <v>2.1664361058605398E-2</v>
      </c>
    </row>
    <row r="270" spans="1:6" x14ac:dyDescent="0.35">
      <c r="A270" s="2">
        <v>44958</v>
      </c>
      <c r="B270" s="60">
        <f>LN('Price Data'!B271/'Price Data'!B270)</f>
        <v>-5.9419219893969361E-3</v>
      </c>
      <c r="C270" s="60">
        <f>LN('Price Data'!C271/'Price Data'!C270)</f>
        <v>1.4674008522538463E-2</v>
      </c>
      <c r="D270" s="60">
        <f>LN('Price Data'!D271/'Price Data'!D270)</f>
        <v>1.9109430499567457E-2</v>
      </c>
      <c r="E270" s="60">
        <f>LN('Price Data'!E271/'Price Data'!E270)</f>
        <v>1.1246805666966595E-2</v>
      </c>
      <c r="F270" s="60">
        <f>LN('Price Data'!F271/'Price Data'!F270)</f>
        <v>2.536308451068248E-2</v>
      </c>
    </row>
    <row r="271" spans="1:6" x14ac:dyDescent="0.35">
      <c r="A271" s="2">
        <v>44959</v>
      </c>
      <c r="B271" s="60">
        <f>LN('Price Data'!B272/'Price Data'!B271)</f>
        <v>-5.5513213625297099E-3</v>
      </c>
      <c r="C271" s="60">
        <f>LN('Price Data'!C272/'Price Data'!C271)</f>
        <v>1.5155905009673041E-2</v>
      </c>
      <c r="D271" s="60">
        <f>LN('Price Data'!D272/'Price Data'!D271)</f>
        <v>1.1665870789510039E-2</v>
      </c>
      <c r="E271" s="60">
        <f>LN('Price Data'!E272/'Price Data'!E271)</f>
        <v>2.0832950643147587E-2</v>
      </c>
      <c r="F271" s="60">
        <f>LN('Price Data'!F272/'Price Data'!F271)</f>
        <v>4.648924840038994E-2</v>
      </c>
    </row>
    <row r="272" spans="1:6" x14ac:dyDescent="0.35">
      <c r="A272" s="2">
        <v>44960</v>
      </c>
      <c r="B272" s="60">
        <f>LN('Price Data'!B273/'Price Data'!B272)</f>
        <v>8.80069326771096E-4</v>
      </c>
      <c r="C272" s="60">
        <f>LN('Price Data'!C273/'Price Data'!C272)</f>
        <v>6.3090961560404845E-3</v>
      </c>
      <c r="D272" s="60">
        <f>LN('Price Data'!D273/'Price Data'!D272)</f>
        <v>6.8537179476810955E-3</v>
      </c>
      <c r="E272" s="60">
        <f>LN('Price Data'!E273/'Price Data'!E272)</f>
        <v>9.831628610562148E-3</v>
      </c>
      <c r="F272" s="60">
        <f>LN('Price Data'!F273/'Price Data'!F272)</f>
        <v>5.3792189778309133E-3</v>
      </c>
    </row>
    <row r="273" spans="1:6" x14ac:dyDescent="0.35">
      <c r="A273" s="2">
        <v>44963</v>
      </c>
      <c r="B273" s="60">
        <f>LN('Price Data'!B274/'Price Data'!B273)</f>
        <v>-7.5578111789579702E-3</v>
      </c>
      <c r="C273" s="60">
        <f>LN('Price Data'!C274/'Price Data'!C273)</f>
        <v>-6.4397500207500633E-3</v>
      </c>
      <c r="D273" s="60">
        <f>LN('Price Data'!D274/'Price Data'!D273)</f>
        <v>-1.1761416510339972E-2</v>
      </c>
      <c r="E273" s="60">
        <f>LN('Price Data'!E274/'Price Data'!E273)</f>
        <v>-1.8652035739485439E-2</v>
      </c>
      <c r="F273" s="60">
        <f>LN('Price Data'!F274/'Price Data'!F273)</f>
        <v>7.2108000678816559E-3</v>
      </c>
    </row>
    <row r="274" spans="1:6" x14ac:dyDescent="0.35">
      <c r="A274" s="2">
        <v>44964</v>
      </c>
      <c r="B274" s="60">
        <f>LN('Price Data'!B275/'Price Data'!B274)</f>
        <v>-2.4046272011570961E-3</v>
      </c>
      <c r="C274" s="60">
        <f>LN('Price Data'!C275/'Price Data'!C274)</f>
        <v>3.6345127045834028E-3</v>
      </c>
      <c r="D274" s="60">
        <f>LN('Price Data'!D275/'Price Data'!D274)</f>
        <v>-1.1134227175056105E-3</v>
      </c>
      <c r="E274" s="60">
        <f>LN('Price Data'!E275/'Price Data'!E274)</f>
        <v>-4.7581068934217574E-3</v>
      </c>
      <c r="F274" s="60">
        <f>LN('Price Data'!F275/'Price Data'!F274)</f>
        <v>-2.6821208000944948E-2</v>
      </c>
    </row>
    <row r="275" spans="1:6" x14ac:dyDescent="0.35">
      <c r="A275" s="2">
        <v>44965</v>
      </c>
      <c r="B275" s="60">
        <f>LN('Price Data'!B276/'Price Data'!B275)</f>
        <v>1.9770406612970852E-2</v>
      </c>
      <c r="C275" s="60">
        <f>LN('Price Data'!C276/'Price Data'!C275)</f>
        <v>1.3600022272662163E-2</v>
      </c>
      <c r="D275" s="60">
        <f>LN('Price Data'!D276/'Price Data'!D275)</f>
        <v>7.4189083452558249E-3</v>
      </c>
      <c r="E275" s="60">
        <f>LN('Price Data'!E276/'Price Data'!E275)</f>
        <v>1.7830105266683969E-2</v>
      </c>
      <c r="F275" s="60">
        <f>LN('Price Data'!F276/'Price Data'!F275)</f>
        <v>6.1360342513513532E-3</v>
      </c>
    </row>
    <row r="276" spans="1:6" x14ac:dyDescent="0.35">
      <c r="A276" s="2">
        <v>44966</v>
      </c>
      <c r="B276" s="60">
        <f>LN('Price Data'!B277/'Price Data'!B276)</f>
        <v>1.7406770573612635E-3</v>
      </c>
      <c r="C276" s="60">
        <f>LN('Price Data'!C277/'Price Data'!C276)</f>
        <v>5.8790388414111678E-3</v>
      </c>
      <c r="D276" s="60">
        <f>LN('Price Data'!D277/'Price Data'!D276)</f>
        <v>1.9768597635089562E-3</v>
      </c>
      <c r="E276" s="60">
        <f>LN('Price Data'!E277/'Price Data'!E276)</f>
        <v>1.6523186484672239E-2</v>
      </c>
      <c r="F276" s="60">
        <f>LN('Price Data'!F277/'Price Data'!F276)</f>
        <v>-3.4610945498669745E-3</v>
      </c>
    </row>
    <row r="277" spans="1:6" x14ac:dyDescent="0.35">
      <c r="A277" s="2">
        <v>44967</v>
      </c>
      <c r="B277" s="60">
        <f>LN('Price Data'!B278/'Price Data'!B277)</f>
        <v>-8.2717651181056593E-3</v>
      </c>
      <c r="C277" s="60">
        <f>LN('Price Data'!C278/'Price Data'!C277)</f>
        <v>-9.3105647565167222E-4</v>
      </c>
      <c r="D277" s="60">
        <f>LN('Price Data'!D278/'Price Data'!D277)</f>
        <v>-8.1066550742718707E-3</v>
      </c>
      <c r="E277" s="60">
        <f>LN('Price Data'!E278/'Price Data'!E277)</f>
        <v>-5.2377687180877753E-3</v>
      </c>
      <c r="F277" s="60">
        <f>LN('Price Data'!F278/'Price Data'!F277)</f>
        <v>-7.7885790924295496E-3</v>
      </c>
    </row>
    <row r="278" spans="1:6" x14ac:dyDescent="0.35">
      <c r="A278" s="2">
        <v>44970</v>
      </c>
      <c r="B278" s="60">
        <f>LN('Price Data'!B279/'Price Data'!B278)</f>
        <v>-5.7013074525310674E-3</v>
      </c>
      <c r="C278" s="60">
        <f>LN('Price Data'!C279/'Price Data'!C278)</f>
        <v>-1.5713918033820492E-2</v>
      </c>
      <c r="D278" s="60">
        <f>LN('Price Data'!D279/'Price Data'!D278)</f>
        <v>-3.7547712051014077E-3</v>
      </c>
      <c r="E278" s="60">
        <f>LN('Price Data'!E279/'Price Data'!E278)</f>
        <v>-2.5883194390279186E-2</v>
      </c>
      <c r="F278" s="60">
        <f>LN('Price Data'!F279/'Price Data'!F278)</f>
        <v>7.6464751004892331E-3</v>
      </c>
    </row>
    <row r="279" spans="1:6" x14ac:dyDescent="0.35">
      <c r="A279" s="2">
        <v>44971</v>
      </c>
      <c r="B279" s="60">
        <f>LN('Price Data'!B280/'Price Data'!B279)</f>
        <v>2.3289230914301583E-2</v>
      </c>
      <c r="C279" s="60">
        <f>LN('Price Data'!C280/'Price Data'!C279)</f>
        <v>5.0702955981027226E-3</v>
      </c>
      <c r="D279" s="60">
        <f>LN('Price Data'!D280/'Price Data'!D279)</f>
        <v>1.7075504484546488E-2</v>
      </c>
      <c r="E279" s="60">
        <f>LN('Price Data'!E280/'Price Data'!E279)</f>
        <v>1.6322399671512621E-2</v>
      </c>
      <c r="F279" s="60">
        <f>LN('Price Data'!F280/'Price Data'!F279)</f>
        <v>3.221845267011151E-2</v>
      </c>
    </row>
    <row r="280" spans="1:6" x14ac:dyDescent="0.35">
      <c r="A280" s="2">
        <v>44972</v>
      </c>
      <c r="B280" s="60">
        <f>LN('Price Data'!B281/'Price Data'!B280)</f>
        <v>2.2387832665690374E-2</v>
      </c>
      <c r="C280" s="60">
        <f>LN('Price Data'!C281/'Price Data'!C280)</f>
        <v>5.8525974934391023E-3</v>
      </c>
      <c r="D280" s="60">
        <f>LN('Price Data'!D281/'Price Data'!D280)</f>
        <v>6.3360617476993395E-3</v>
      </c>
      <c r="E280" s="60">
        <f>LN('Price Data'!E281/'Price Data'!E280)</f>
        <v>2.3830399435425514E-3</v>
      </c>
      <c r="F280" s="60">
        <f>LN('Price Data'!F281/'Price Data'!F280)</f>
        <v>-1.1069713148193289E-2</v>
      </c>
    </row>
    <row r="281" spans="1:6" x14ac:dyDescent="0.35">
      <c r="A281" s="2">
        <v>44973</v>
      </c>
      <c r="B281" s="60">
        <f>LN('Price Data'!B282/'Price Data'!B281)</f>
        <v>-7.7933850795488483E-4</v>
      </c>
      <c r="C281" s="60">
        <f>LN('Price Data'!C282/'Price Data'!C281)</f>
        <v>1.0567721340729431E-2</v>
      </c>
      <c r="D281" s="60">
        <f>LN('Price Data'!D282/'Price Data'!D281)</f>
        <v>-1.5515015323144066E-3</v>
      </c>
      <c r="E281" s="60">
        <f>LN('Price Data'!E282/'Price Data'!E281)</f>
        <v>2.9676970588225662E-3</v>
      </c>
      <c r="F281" s="60">
        <f>LN('Price Data'!F282/'Price Data'!F281)</f>
        <v>9.1790335081986369E-4</v>
      </c>
    </row>
    <row r="282" spans="1:6" x14ac:dyDescent="0.35">
      <c r="A282" s="2">
        <v>44974</v>
      </c>
      <c r="B282" s="60">
        <f>LN('Price Data'!B283/'Price Data'!B282)</f>
        <v>4.1705364079636003E-3</v>
      </c>
      <c r="C282" s="60">
        <f>LN('Price Data'!C283/'Price Data'!C282)</f>
        <v>-1.6121852489772687E-2</v>
      </c>
      <c r="D282" s="60">
        <f>LN('Price Data'!D283/'Price Data'!D282)</f>
        <v>-7.8517810002050482E-3</v>
      </c>
      <c r="E282" s="60">
        <f>LN('Price Data'!E283/'Price Data'!E282)</f>
        <v>-1.1301552856524826E-2</v>
      </c>
      <c r="F282" s="60">
        <f>LN('Price Data'!F283/'Price Data'!F282)</f>
        <v>2.2217294186628596E-3</v>
      </c>
    </row>
    <row r="283" spans="1:6" x14ac:dyDescent="0.35">
      <c r="A283" s="2">
        <v>44977</v>
      </c>
      <c r="B283" s="60">
        <f>LN('Price Data'!B284/'Price Data'!B283)</f>
        <v>-1.0627922059155409E-2</v>
      </c>
      <c r="C283" s="60">
        <f>LN('Price Data'!C284/'Price Data'!C283)</f>
        <v>-3.9619270308384694E-3</v>
      </c>
      <c r="D283" s="60">
        <f>LN('Price Data'!D284/'Price Data'!D283)</f>
        <v>-1.2305155993962574E-2</v>
      </c>
      <c r="E283" s="60">
        <f>LN('Price Data'!E284/'Price Data'!E283)</f>
        <v>5.4520548545055189E-3</v>
      </c>
      <c r="F283" s="60">
        <f>LN('Price Data'!F284/'Price Data'!F283)</f>
        <v>1.6907580562255302E-3</v>
      </c>
    </row>
    <row r="284" spans="1:6" x14ac:dyDescent="0.35">
      <c r="A284" s="2">
        <v>44978</v>
      </c>
      <c r="B284" s="60">
        <f>LN('Price Data'!B285/'Price Data'!B284)</f>
        <v>8.1240678004269023E-3</v>
      </c>
      <c r="C284" s="60">
        <f>LN('Price Data'!C285/'Price Data'!C284)</f>
        <v>-1.0465902113324993E-2</v>
      </c>
      <c r="D284" s="60">
        <f>LN('Price Data'!D285/'Price Data'!D284)</f>
        <v>2.4614675734558485E-3</v>
      </c>
      <c r="E284" s="60">
        <f>LN('Price Data'!E285/'Price Data'!E284)</f>
        <v>-8.1669857718234193E-3</v>
      </c>
      <c r="F284" s="60">
        <f>LN('Price Data'!F285/'Price Data'!F284)</f>
        <v>-4.6912603907012145E-3</v>
      </c>
    </row>
    <row r="285" spans="1:6" x14ac:dyDescent="0.35">
      <c r="A285" s="2">
        <v>44979</v>
      </c>
      <c r="B285" s="60">
        <f>LN('Price Data'!B286/'Price Data'!B285)</f>
        <v>-2.2941741087565366E-2</v>
      </c>
      <c r="C285" s="60">
        <f>LN('Price Data'!C286/'Price Data'!C285)</f>
        <v>-1.4432278933974974E-2</v>
      </c>
      <c r="D285" s="60">
        <f>LN('Price Data'!D286/'Price Data'!D285)</f>
        <v>-1.7656722547221837E-2</v>
      </c>
      <c r="E285" s="60">
        <f>LN('Price Data'!E286/'Price Data'!E285)</f>
        <v>-1.1268807021004846E-2</v>
      </c>
      <c r="F285" s="60">
        <f>LN('Price Data'!F286/'Price Data'!F285)</f>
        <v>4.1649372992842021E-3</v>
      </c>
    </row>
    <row r="286" spans="1:6" x14ac:dyDescent="0.35">
      <c r="A286" s="2">
        <v>44980</v>
      </c>
      <c r="B286" s="60">
        <f>LN('Price Data'!B287/'Price Data'!B286)</f>
        <v>-4.7991997540869401E-3</v>
      </c>
      <c r="C286" s="60">
        <f>LN('Price Data'!C287/'Price Data'!C286)</f>
        <v>3.5967444050568655E-3</v>
      </c>
      <c r="D286" s="60">
        <f>LN('Price Data'!D287/'Price Data'!D286)</f>
        <v>5.9559263225792021E-4</v>
      </c>
      <c r="E286" s="60">
        <f>LN('Price Data'!E287/'Price Data'!E286)</f>
        <v>-7.1339791940231408E-3</v>
      </c>
      <c r="F286" s="60">
        <f>LN('Price Data'!F287/'Price Data'!F286)</f>
        <v>9.7335774614322555E-3</v>
      </c>
    </row>
    <row r="287" spans="1:6" x14ac:dyDescent="0.35">
      <c r="A287" s="2">
        <v>44981</v>
      </c>
      <c r="B287" s="60">
        <f>LN('Price Data'!B288/'Price Data'!B287)</f>
        <v>6.8159636252541787E-3</v>
      </c>
      <c r="C287" s="60">
        <f>LN('Price Data'!C288/'Price Data'!C287)</f>
        <v>-3.9187233078819056E-3</v>
      </c>
      <c r="D287" s="60">
        <f>LN('Price Data'!D288/'Price Data'!D287)</f>
        <v>-5.9543302884530813E-5</v>
      </c>
      <c r="E287" s="60">
        <f>LN('Price Data'!E288/'Price Data'!E287)</f>
        <v>-3.2425736958768596E-5</v>
      </c>
      <c r="F287" s="60">
        <f>LN('Price Data'!F288/'Price Data'!F287)</f>
        <v>-6.4693072249478751E-3</v>
      </c>
    </row>
    <row r="288" spans="1:6" x14ac:dyDescent="0.35">
      <c r="A288" s="2">
        <v>44984</v>
      </c>
      <c r="B288" s="60">
        <f>LN('Price Data'!B289/'Price Data'!B288)</f>
        <v>-6.6670931794845963E-3</v>
      </c>
      <c r="C288" s="60">
        <f>LN('Price Data'!C289/'Price Data'!C288)</f>
        <v>-2.0381977720025063E-2</v>
      </c>
      <c r="D288" s="60">
        <f>LN('Price Data'!D289/'Price Data'!D288)</f>
        <v>1.9692871526010028E-2</v>
      </c>
      <c r="E288" s="60">
        <f>LN('Price Data'!E289/'Price Data'!E288)</f>
        <v>-2.7029383100778619E-2</v>
      </c>
      <c r="F288" s="60">
        <f>LN('Price Data'!F289/'Price Data'!F288)</f>
        <v>-7.568337970775516E-3</v>
      </c>
    </row>
    <row r="289" spans="1:6" x14ac:dyDescent="0.35">
      <c r="A289" s="2">
        <v>44985</v>
      </c>
      <c r="B289" s="60">
        <f>LN('Price Data'!B290/'Price Data'!B289)</f>
        <v>-1.9323228996033639E-2</v>
      </c>
      <c r="C289" s="60">
        <f>LN('Price Data'!C290/'Price Data'!C289)</f>
        <v>-5.7181459242969888E-3</v>
      </c>
      <c r="D289" s="60">
        <f>LN('Price Data'!D290/'Price Data'!D289)</f>
        <v>-1.8115417664094514E-3</v>
      </c>
      <c r="E289" s="60">
        <f>LN('Price Data'!E290/'Price Data'!E289)</f>
        <v>-1.451678988771879E-2</v>
      </c>
      <c r="F289" s="60">
        <f>LN('Price Data'!F290/'Price Data'!F289)</f>
        <v>-1.4491585433798679E-2</v>
      </c>
    </row>
    <row r="290" spans="1:6" x14ac:dyDescent="0.35">
      <c r="A290" s="2">
        <v>44986</v>
      </c>
      <c r="B290" s="60">
        <f>LN('Price Data'!B291/'Price Data'!B290)</f>
        <v>9.1586107362970279E-3</v>
      </c>
      <c r="C290" s="60">
        <f>LN('Price Data'!C291/'Price Data'!C290)</f>
        <v>2.1750649367709502E-2</v>
      </c>
      <c r="D290" s="60">
        <f>LN('Price Data'!D291/'Price Data'!D290)</f>
        <v>1.6947670830280486E-3</v>
      </c>
      <c r="E290" s="60">
        <f>LN('Price Data'!E291/'Price Data'!E290)</f>
        <v>5.7029761428591371E-3</v>
      </c>
      <c r="F290" s="60">
        <f>LN('Price Data'!F291/'Price Data'!F290)</f>
        <v>5.2939974960636085E-3</v>
      </c>
    </row>
    <row r="291" spans="1:6" x14ac:dyDescent="0.35">
      <c r="A291" s="2">
        <v>44987</v>
      </c>
      <c r="B291" s="60">
        <f>LN('Price Data'!B292/'Price Data'!B291)</f>
        <v>-7.6515942956792678E-3</v>
      </c>
      <c r="C291" s="60">
        <f>LN('Price Data'!C292/'Price Data'!C291)</f>
        <v>-1.9158161885144728E-2</v>
      </c>
      <c r="D291" s="60">
        <f>LN('Price Data'!D292/'Price Data'!D291)</f>
        <v>-2.6895882435764447E-3</v>
      </c>
      <c r="E291" s="60">
        <f>LN('Price Data'!E292/'Price Data'!E291)</f>
        <v>-1.6107030426589678E-2</v>
      </c>
      <c r="F291" s="60">
        <f>LN('Price Data'!F292/'Price Data'!F291)</f>
        <v>-8.3479530423757921E-3</v>
      </c>
    </row>
    <row r="292" spans="1:6" x14ac:dyDescent="0.35">
      <c r="A292" s="2">
        <v>44988</v>
      </c>
      <c r="B292" s="60">
        <f>LN('Price Data'!B293/'Price Data'!B292)</f>
        <v>2.5194678020457672E-2</v>
      </c>
      <c r="C292" s="60">
        <f>LN('Price Data'!C293/'Price Data'!C292)</f>
        <v>6.2145244307052301E-3</v>
      </c>
      <c r="D292" s="60">
        <f>LN('Price Data'!D293/'Price Data'!D292)</f>
        <v>1.6893960759362468E-2</v>
      </c>
      <c r="E292" s="60">
        <f>LN('Price Data'!E293/'Price Data'!E292)</f>
        <v>4.8451324974974263E-3</v>
      </c>
      <c r="F292" s="60">
        <f>LN('Price Data'!F293/'Price Data'!F292)</f>
        <v>2.4727149297714163E-2</v>
      </c>
    </row>
    <row r="293" spans="1:6" x14ac:dyDescent="0.35">
      <c r="A293" s="2">
        <v>44991</v>
      </c>
      <c r="B293" s="60">
        <f>LN('Price Data'!B294/'Price Data'!B293)</f>
        <v>9.7235369858729211E-3</v>
      </c>
      <c r="C293" s="60">
        <f>LN('Price Data'!C294/'Price Data'!C293)</f>
        <v>8.8463312427415255E-3</v>
      </c>
      <c r="D293" s="60">
        <f>LN('Price Data'!D294/'Price Data'!D293)</f>
        <v>-9.2149980603668975E-4</v>
      </c>
      <c r="E293" s="60">
        <f>LN('Price Data'!E294/'Price Data'!E293)</f>
        <v>1.8848979427734155E-2</v>
      </c>
      <c r="F293" s="60">
        <f>LN('Price Data'!F294/'Price Data'!F293)</f>
        <v>8.2819056655862658E-3</v>
      </c>
    </row>
    <row r="294" spans="1:6" x14ac:dyDescent="0.35">
      <c r="A294" s="2">
        <v>44993</v>
      </c>
      <c r="B294" s="60">
        <f>LN('Price Data'!B295/'Price Data'!B294)</f>
        <v>3.5879145072548646E-3</v>
      </c>
      <c r="C294" s="60">
        <f>LN('Price Data'!C295/'Price Data'!C294)</f>
        <v>5.4850339416536997E-3</v>
      </c>
      <c r="D294" s="60">
        <f>LN('Price Data'!D295/'Price Data'!D294)</f>
        <v>5.0004414910443228E-3</v>
      </c>
      <c r="E294" s="60">
        <f>LN('Price Data'!E295/'Price Data'!E294)</f>
        <v>-9.8347271285982082E-3</v>
      </c>
      <c r="F294" s="60">
        <f>LN('Price Data'!F295/'Price Data'!F294)</f>
        <v>1.0873671295792042E-2</v>
      </c>
    </row>
    <row r="295" spans="1:6" x14ac:dyDescent="0.35">
      <c r="A295" s="2">
        <v>44994</v>
      </c>
      <c r="B295" s="60">
        <f>LN('Price Data'!B296/'Price Data'!B295)</f>
        <v>-2.4334300398672945E-2</v>
      </c>
      <c r="C295" s="60">
        <f>LN('Price Data'!C296/'Price Data'!C295)</f>
        <v>-1.5919765385991661E-2</v>
      </c>
      <c r="D295" s="60">
        <f>LN('Price Data'!D296/'Price Data'!D295)</f>
        <v>-1.8692133012152522E-2</v>
      </c>
      <c r="E295" s="60">
        <f>LN('Price Data'!E296/'Price Data'!E295)</f>
        <v>-8.2735392100321114E-3</v>
      </c>
      <c r="F295" s="60">
        <f>LN('Price Data'!F296/'Price Data'!F295)</f>
        <v>-1.2573978857690645E-2</v>
      </c>
    </row>
    <row r="296" spans="1:6" x14ac:dyDescent="0.35">
      <c r="A296" s="2">
        <v>44995</v>
      </c>
      <c r="B296" s="60">
        <f>LN('Price Data'!B297/'Price Data'!B296)</f>
        <v>-1.5612451106082078E-2</v>
      </c>
      <c r="C296" s="60">
        <f>LN('Price Data'!C297/'Price Data'!C296)</f>
        <v>-1.753778454967802E-3</v>
      </c>
      <c r="D296" s="60">
        <f>LN('Price Data'!D297/'Price Data'!D296)</f>
        <v>-1.5660275298758495E-2</v>
      </c>
      <c r="E296" s="60">
        <f>LN('Price Data'!E297/'Price Data'!E296)</f>
        <v>-5.9957936655865339E-3</v>
      </c>
      <c r="F296" s="60">
        <f>LN('Price Data'!F297/'Price Data'!F296)</f>
        <v>1.3166197694256798E-3</v>
      </c>
    </row>
    <row r="297" spans="1:6" x14ac:dyDescent="0.35">
      <c r="A297" s="2">
        <v>44998</v>
      </c>
      <c r="B297" s="60">
        <f>LN('Price Data'!B298/'Price Data'!B297)</f>
        <v>-1.6583049498991566E-2</v>
      </c>
      <c r="C297" s="60">
        <f>LN('Price Data'!C298/'Price Data'!C297)</f>
        <v>-1.4836693247062398E-2</v>
      </c>
      <c r="D297" s="60">
        <f>LN('Price Data'!D298/'Price Data'!D297)</f>
        <v>-1.7055558400599823E-2</v>
      </c>
      <c r="E297" s="60">
        <f>LN('Price Data'!E298/'Price Data'!E297)</f>
        <v>-2.5077775254587226E-2</v>
      </c>
      <c r="F297" s="60">
        <f>LN('Price Data'!F298/'Price Data'!F297)</f>
        <v>-1.1274635992339598E-2</v>
      </c>
    </row>
    <row r="298" spans="1:6" x14ac:dyDescent="0.35">
      <c r="A298" s="2">
        <v>44999</v>
      </c>
      <c r="B298" s="60">
        <f>LN('Price Data'!B299/'Price Data'!B298)</f>
        <v>-3.7485793513705882E-3</v>
      </c>
      <c r="C298" s="60">
        <f>LN('Price Data'!C299/'Price Data'!C298)</f>
        <v>-2.0625664494271948E-2</v>
      </c>
      <c r="D298" s="60">
        <f>LN('Price Data'!D299/'Price Data'!D298)</f>
        <v>2.3511691313331702E-3</v>
      </c>
      <c r="E298" s="60">
        <f>LN('Price Data'!E299/'Price Data'!E298)</f>
        <v>-1.058091657995573E-2</v>
      </c>
      <c r="F298" s="60">
        <f>LN('Price Data'!F299/'Price Data'!F298)</f>
        <v>-1.0366252333189717E-2</v>
      </c>
    </row>
    <row r="299" spans="1:6" x14ac:dyDescent="0.35">
      <c r="A299" s="2">
        <v>45000</v>
      </c>
      <c r="B299" s="60">
        <f>LN('Price Data'!B300/'Price Data'!B299)</f>
        <v>-1.7241638096821173E-2</v>
      </c>
      <c r="C299" s="60">
        <f>LN('Price Data'!C300/'Price Data'!C299)</f>
        <v>-5.0029316773401973E-3</v>
      </c>
      <c r="D299" s="60">
        <f>LN('Price Data'!D300/'Price Data'!D299)</f>
        <v>-5.3735978360908189E-3</v>
      </c>
      <c r="E299" s="60">
        <f>LN('Price Data'!E300/'Price Data'!E299)</f>
        <v>-2.4789905677407485E-4</v>
      </c>
      <c r="F299" s="60">
        <f>LN('Price Data'!F300/'Price Data'!F299)</f>
        <v>-7.8462146041781791E-4</v>
      </c>
    </row>
    <row r="300" spans="1:6" x14ac:dyDescent="0.35">
      <c r="A300" s="2">
        <v>45001</v>
      </c>
      <c r="B300" s="60">
        <f>LN('Price Data'!B301/'Price Data'!B300)</f>
        <v>-4.9954197450542892E-3</v>
      </c>
      <c r="C300" s="60">
        <f>LN('Price Data'!C301/'Price Data'!C300)</f>
        <v>-4.3560025192429085E-3</v>
      </c>
      <c r="D300" s="60">
        <f>LN('Price Data'!D301/'Price Data'!D300)</f>
        <v>-2.4245374951269898E-3</v>
      </c>
      <c r="E300" s="60">
        <f>LN('Price Data'!E301/'Price Data'!E300)</f>
        <v>-1.1011821008607389E-2</v>
      </c>
      <c r="F300" s="60">
        <f>LN('Price Data'!F301/'Price Data'!F300)</f>
        <v>5.3958222532221435E-3</v>
      </c>
    </row>
    <row r="301" spans="1:6" x14ac:dyDescent="0.35">
      <c r="A301" s="2">
        <v>45002</v>
      </c>
      <c r="B301" s="60">
        <f>LN('Price Data'!B302/'Price Data'!B301)</f>
        <v>-1.2577185458131864E-3</v>
      </c>
      <c r="C301" s="60">
        <f>LN('Price Data'!C302/'Price Data'!C301)</f>
        <v>-1.7900698550282362E-3</v>
      </c>
      <c r="D301" s="60">
        <f>LN('Price Data'!D302/'Price Data'!D301)</f>
        <v>1.4878448120893785E-2</v>
      </c>
      <c r="E301" s="60">
        <f>LN('Price Data'!E302/'Price Data'!E301)</f>
        <v>1.1755333893239746E-2</v>
      </c>
      <c r="F301" s="60">
        <f>LN('Price Data'!F302/'Price Data'!F301)</f>
        <v>-1.5595679638102586E-2</v>
      </c>
    </row>
    <row r="302" spans="1:6" x14ac:dyDescent="0.35">
      <c r="A302" s="2">
        <v>45005</v>
      </c>
      <c r="B302" s="60">
        <f>LN('Price Data'!B303/'Price Data'!B302)</f>
        <v>-9.8788857227748543E-3</v>
      </c>
      <c r="C302" s="60">
        <f>LN('Price Data'!C303/'Price Data'!C302)</f>
        <v>-1.1389760591794806E-2</v>
      </c>
      <c r="D302" s="60">
        <f>LN('Price Data'!D303/'Price Data'!D302)</f>
        <v>2.3913433485167E-4</v>
      </c>
      <c r="E302" s="60">
        <f>LN('Price Data'!E303/'Price Data'!E302)</f>
        <v>-1.2077682311688428E-2</v>
      </c>
      <c r="F302" s="60">
        <f>LN('Price Data'!F303/'Price Data'!F302)</f>
        <v>8.628765152839328E-3</v>
      </c>
    </row>
    <row r="303" spans="1:6" x14ac:dyDescent="0.35">
      <c r="A303" s="2">
        <v>45006</v>
      </c>
      <c r="B303" s="60">
        <f>LN('Price Data'!B304/'Price Data'!B303)</f>
        <v>3.062092217311773E-2</v>
      </c>
      <c r="C303" s="60">
        <f>LN('Price Data'!C304/'Price Data'!C303)</f>
        <v>-1.1905802011727241E-2</v>
      </c>
      <c r="D303" s="60">
        <f>LN('Price Data'!D304/'Price Data'!D303)</f>
        <v>1.8889154447172145E-2</v>
      </c>
      <c r="E303" s="60">
        <f>LN('Price Data'!E304/'Price Data'!E303)</f>
        <v>-9.263424154687866E-3</v>
      </c>
      <c r="F303" s="60">
        <f>LN('Price Data'!F304/'Price Data'!F303)</f>
        <v>-4.8974175399812102E-3</v>
      </c>
    </row>
    <row r="304" spans="1:6" x14ac:dyDescent="0.35">
      <c r="A304" s="2">
        <v>45007</v>
      </c>
      <c r="B304" s="60">
        <f>LN('Price Data'!B305/'Price Data'!B304)</f>
        <v>3.0430803150859678E-3</v>
      </c>
      <c r="C304" s="60">
        <f>LN('Price Data'!C305/'Price Data'!C304)</f>
        <v>7.9219116219441024E-3</v>
      </c>
      <c r="D304" s="60">
        <f>LN('Price Data'!D305/'Price Data'!D304)</f>
        <v>9.1090201251739153E-3</v>
      </c>
      <c r="E304" s="60">
        <f>LN('Price Data'!E305/'Price Data'!E304)</f>
        <v>-1.0490637164932818E-3</v>
      </c>
      <c r="F304" s="60">
        <f>LN('Price Data'!F305/'Price Data'!F304)</f>
        <v>2.1138975444556334E-3</v>
      </c>
    </row>
    <row r="305" spans="1:6" x14ac:dyDescent="0.35">
      <c r="A305" s="2">
        <v>45008</v>
      </c>
      <c r="B305" s="60">
        <f>LN('Price Data'!B306/'Price Data'!B305)</f>
        <v>-1.2737785187459773E-2</v>
      </c>
      <c r="C305" s="60">
        <f>LN('Price Data'!C306/'Price Data'!C305)</f>
        <v>-1.9657604377186465E-3</v>
      </c>
      <c r="D305" s="60">
        <f>LN('Price Data'!D306/'Price Data'!D305)</f>
        <v>-5.5372740789784167E-3</v>
      </c>
      <c r="E305" s="60">
        <f>LN('Price Data'!E306/'Price Data'!E305)</f>
        <v>-1.0632088539889421E-2</v>
      </c>
      <c r="F305" s="60">
        <f>LN('Price Data'!F306/'Price Data'!F305)</f>
        <v>7.6291285243980317E-3</v>
      </c>
    </row>
    <row r="306" spans="1:6" x14ac:dyDescent="0.35">
      <c r="A306" s="2">
        <v>45009</v>
      </c>
      <c r="B306" s="60">
        <f>LN('Price Data'!B307/'Price Data'!B306)</f>
        <v>-1.9995914885385518E-2</v>
      </c>
      <c r="C306" s="60">
        <f>LN('Price Data'!C307/'Price Data'!C306)</f>
        <v>-1.3287542071009255E-3</v>
      </c>
      <c r="D306" s="60">
        <f>LN('Price Data'!D307/'Price Data'!D306)</f>
        <v>-3.5717460461955979E-3</v>
      </c>
      <c r="E306" s="60">
        <f>LN('Price Data'!E307/'Price Data'!E306)</f>
        <v>4.4237523597959348E-3</v>
      </c>
      <c r="F306" s="60">
        <f>LN('Price Data'!F307/'Price Data'!F306)</f>
        <v>-5.126420639336029E-3</v>
      </c>
    </row>
    <row r="307" spans="1:6" x14ac:dyDescent="0.35">
      <c r="A307" s="2">
        <v>45012</v>
      </c>
      <c r="B307" s="60">
        <f>LN('Price Data'!B308/'Price Data'!B307)</f>
        <v>1.5428194287138196E-2</v>
      </c>
      <c r="C307" s="60">
        <f>LN('Price Data'!C308/'Price Data'!C307)</f>
        <v>5.7611753103401517E-4</v>
      </c>
      <c r="D307" s="60">
        <f>LN('Price Data'!D308/'Price Data'!D307)</f>
        <v>-4.3501332488308214E-3</v>
      </c>
      <c r="E307" s="60">
        <f>LN('Price Data'!E308/'Price Data'!E307)</f>
        <v>5.9983913079497174E-3</v>
      </c>
      <c r="F307" s="60">
        <f>LN('Price Data'!F308/'Price Data'!F307)</f>
        <v>3.9521865522781693E-3</v>
      </c>
    </row>
    <row r="308" spans="1:6" x14ac:dyDescent="0.35">
      <c r="A308" s="2">
        <v>45013</v>
      </c>
      <c r="B308" s="60">
        <f>LN('Price Data'!B309/'Price Data'!B308)</f>
        <v>4.6559226004899805E-3</v>
      </c>
      <c r="C308" s="60">
        <f>LN('Price Data'!C309/'Price Data'!C308)</f>
        <v>-2.0517188323466826E-3</v>
      </c>
      <c r="D308" s="60">
        <f>LN('Price Data'!D309/'Price Data'!D308)</f>
        <v>7.1032615437793285E-3</v>
      </c>
      <c r="E308" s="60">
        <f>LN('Price Data'!E309/'Price Data'!E308)</f>
        <v>-8.2078212917247127E-3</v>
      </c>
      <c r="F308" s="60">
        <f>LN('Price Data'!F309/'Price Data'!F308)</f>
        <v>-1.1756145338757246E-3</v>
      </c>
    </row>
    <row r="309" spans="1:6" x14ac:dyDescent="0.35">
      <c r="A309" s="2">
        <v>45014</v>
      </c>
      <c r="B309" s="60">
        <f>LN('Price Data'!B310/'Price Data'!B309)</f>
        <v>-5.9268023877182127E-3</v>
      </c>
      <c r="C309" s="60">
        <f>LN('Price Data'!C310/'Price Data'!C309)</f>
        <v>7.353127839301604E-3</v>
      </c>
      <c r="D309" s="60">
        <f>LN('Price Data'!D310/'Price Data'!D309)</f>
        <v>-4.3968999460365791E-3</v>
      </c>
      <c r="E309" s="60">
        <f>LN('Price Data'!E310/'Price Data'!E309)</f>
        <v>4.3122353469556901E-3</v>
      </c>
      <c r="F309" s="60">
        <f>LN('Price Data'!F310/'Price Data'!F309)</f>
        <v>7.8670271276075499E-3</v>
      </c>
    </row>
    <row r="310" spans="1:6" x14ac:dyDescent="0.35">
      <c r="A310" s="2">
        <v>45016</v>
      </c>
      <c r="B310" s="60">
        <f>LN('Price Data'!B311/'Price Data'!B310)</f>
        <v>4.2205894532907767E-2</v>
      </c>
      <c r="C310" s="60">
        <f>LN('Price Data'!C311/'Price Data'!C310)</f>
        <v>2.1120152691774995E-2</v>
      </c>
      <c r="D310" s="60">
        <f>LN('Price Data'!D311/'Price Data'!D310)</f>
        <v>3.0379885889950407E-2</v>
      </c>
      <c r="E310" s="60">
        <f>LN('Price Data'!E311/'Price Data'!E310)</f>
        <v>3.1586279615855792E-2</v>
      </c>
      <c r="F310" s="60">
        <f>LN('Price Data'!F311/'Price Data'!F310)</f>
        <v>1.9709909913274573E-3</v>
      </c>
    </row>
    <row r="311" spans="1:6" x14ac:dyDescent="0.35">
      <c r="A311" s="2">
        <v>45019</v>
      </c>
      <c r="B311" s="60">
        <f>LN('Price Data'!B312/'Price Data'!B311)</f>
        <v>1.700969556745207E-4</v>
      </c>
      <c r="C311" s="60">
        <f>LN('Price Data'!C312/'Price Data'!C311)</f>
        <v>-1.8411792509026492E-3</v>
      </c>
      <c r="D311" s="60">
        <f>LN('Price Data'!D312/'Price Data'!D311)</f>
        <v>7.4387782333150869E-3</v>
      </c>
      <c r="E311" s="60">
        <f>LN('Price Data'!E312/'Price Data'!E311)</f>
        <v>-1.2051625022273372E-2</v>
      </c>
      <c r="F311" s="60">
        <f>LN('Price Data'!F312/'Price Data'!F311)</f>
        <v>-1.2081114531193824E-2</v>
      </c>
    </row>
    <row r="312" spans="1:6" x14ac:dyDescent="0.35">
      <c r="A312" s="2">
        <v>45021</v>
      </c>
      <c r="B312" s="60">
        <f>LN('Price Data'!B313/'Price Data'!B312)</f>
        <v>-2.4029376581645749E-3</v>
      </c>
      <c r="C312" s="60">
        <f>LN('Price Data'!C313/'Price Data'!C312)</f>
        <v>1.2361899049318493E-2</v>
      </c>
      <c r="D312" s="60">
        <f>LN('Price Data'!D313/'Price Data'!D312)</f>
        <v>9.0477273758686114E-4</v>
      </c>
      <c r="E312" s="60">
        <f>LN('Price Data'!E313/'Price Data'!E312)</f>
        <v>8.9622421340101385E-3</v>
      </c>
      <c r="F312" s="60">
        <f>LN('Price Data'!F313/'Price Data'!F312)</f>
        <v>1.9596207644296031E-2</v>
      </c>
    </row>
    <row r="313" spans="1:6" x14ac:dyDescent="0.35">
      <c r="A313" s="2">
        <v>45022</v>
      </c>
      <c r="B313" s="60">
        <f>LN('Price Data'!B314/'Price Data'!B313)</f>
        <v>6.6836208057554341E-3</v>
      </c>
      <c r="C313" s="60">
        <f>LN('Price Data'!C314/'Price Data'!C313)</f>
        <v>-5.9122726338033558E-3</v>
      </c>
      <c r="D313" s="60">
        <f>LN('Price Data'!D314/'Price Data'!D313)</f>
        <v>-1.0911679076612028E-2</v>
      </c>
      <c r="E313" s="60">
        <f>LN('Price Data'!E314/'Price Data'!E313)</f>
        <v>-1.159215538893669E-3</v>
      </c>
      <c r="F313" s="60">
        <f>LN('Price Data'!F314/'Price Data'!F313)</f>
        <v>2.4467702484222585E-3</v>
      </c>
    </row>
    <row r="314" spans="1:6" x14ac:dyDescent="0.35">
      <c r="A314" s="2">
        <v>45026</v>
      </c>
      <c r="B314" s="60">
        <f>LN('Price Data'!B315/'Price Data'!B314)</f>
        <v>-7.1099408648864623E-3</v>
      </c>
      <c r="C314" s="60">
        <f>LN('Price Data'!C315/'Price Data'!C314)</f>
        <v>1.3169909295637106E-2</v>
      </c>
      <c r="D314" s="60">
        <f>LN('Price Data'!D315/'Price Data'!D314)</f>
        <v>-7.5138728575927082E-3</v>
      </c>
      <c r="E314" s="60">
        <f>LN('Price Data'!E315/'Price Data'!E314)</f>
        <v>4.0020804917287956E-3</v>
      </c>
      <c r="F314" s="60">
        <f>LN('Price Data'!F315/'Price Data'!F314)</f>
        <v>3.0979723478996128E-3</v>
      </c>
    </row>
    <row r="315" spans="1:6" x14ac:dyDescent="0.35">
      <c r="A315" s="2">
        <v>45027</v>
      </c>
      <c r="B315" s="60">
        <f>LN('Price Data'!B316/'Price Data'!B315)</f>
        <v>4.9341738967012411E-3</v>
      </c>
      <c r="C315" s="60">
        <f>LN('Price Data'!C316/'Price Data'!C315)</f>
        <v>-1.531516612047615E-2</v>
      </c>
      <c r="D315" s="60">
        <f>LN('Price Data'!D316/'Price Data'!D315)</f>
        <v>1.5368657394113285E-2</v>
      </c>
      <c r="E315" s="60">
        <f>LN('Price Data'!E316/'Price Data'!E315)</f>
        <v>-1.5139383579161517E-2</v>
      </c>
      <c r="F315" s="60">
        <f>LN('Price Data'!F316/'Price Data'!F315)</f>
        <v>1.9006875986061357E-2</v>
      </c>
    </row>
    <row r="316" spans="1:6" x14ac:dyDescent="0.35">
      <c r="A316" s="2">
        <v>45028</v>
      </c>
      <c r="B316" s="60">
        <f>LN('Price Data'!B317/'Price Data'!B316)</f>
        <v>4.3937504531358831E-3</v>
      </c>
      <c r="C316" s="60">
        <f>LN('Price Data'!C317/'Price Data'!C316)</f>
        <v>8.6279341514263978E-3</v>
      </c>
      <c r="D316" s="60">
        <f>LN('Price Data'!D317/'Price Data'!D316)</f>
        <v>9.3113169567364575E-3</v>
      </c>
      <c r="E316" s="60">
        <f>LN('Price Data'!E317/'Price Data'!E316)</f>
        <v>1.5632358693902521E-2</v>
      </c>
      <c r="F316" s="60">
        <f>LN('Price Data'!F317/'Price Data'!F316)</f>
        <v>-6.2234995780831026E-3</v>
      </c>
    </row>
    <row r="317" spans="1:6" x14ac:dyDescent="0.35">
      <c r="A317" s="2">
        <v>45029</v>
      </c>
      <c r="B317" s="60">
        <f>LN('Price Data'!B318/'Price Data'!B317)</f>
        <v>3.7668004284421405E-3</v>
      </c>
      <c r="C317" s="60">
        <f>LN('Price Data'!C318/'Price Data'!C317)</f>
        <v>-1.6423213633464624E-2</v>
      </c>
      <c r="D317" s="60">
        <f>LN('Price Data'!D318/'Price Data'!D317)</f>
        <v>9.8930466207486079E-3</v>
      </c>
      <c r="E317" s="60">
        <f>LN('Price Data'!E318/'Price Data'!E317)</f>
        <v>-2.7756161271285551E-2</v>
      </c>
      <c r="F317" s="60">
        <f>LN('Price Data'!F318/'Price Data'!F317)</f>
        <v>5.2023784058940576E-3</v>
      </c>
    </row>
    <row r="318" spans="1:6" x14ac:dyDescent="0.35">
      <c r="A318" s="2">
        <v>45033</v>
      </c>
      <c r="B318" s="60">
        <f>LN('Price Data'!B319/'Price Data'!B318)</f>
        <v>5.0655692326951659E-3</v>
      </c>
      <c r="C318" s="60">
        <f>LN('Price Data'!C319/'Price Data'!C318)</f>
        <v>-1.5596046344178716E-2</v>
      </c>
      <c r="D318" s="60">
        <f>LN('Price Data'!D319/'Price Data'!D318)</f>
        <v>2.5551310907437233E-3</v>
      </c>
      <c r="E318" s="60">
        <f>LN('Price Data'!E319/'Price Data'!E318)</f>
        <v>-9.8968903986366499E-2</v>
      </c>
      <c r="F318" s="60">
        <f>LN('Price Data'!F319/'Price Data'!F318)</f>
        <v>1.1441221866717827E-2</v>
      </c>
    </row>
    <row r="319" spans="1:6" x14ac:dyDescent="0.35">
      <c r="A319" s="2">
        <v>45034</v>
      </c>
      <c r="B319" s="60">
        <f>LN('Price Data'!B320/'Price Data'!B319)</f>
        <v>-1.1520897103574616E-2</v>
      </c>
      <c r="C319" s="60">
        <f>LN('Price Data'!C320/'Price Data'!C319)</f>
        <v>-2.7910735866578801E-3</v>
      </c>
      <c r="D319" s="60">
        <f>LN('Price Data'!D320/'Price Data'!D319)</f>
        <v>-4.9495415673409182E-3</v>
      </c>
      <c r="E319" s="60">
        <f>LN('Price Data'!E320/'Price Data'!E319)</f>
        <v>8.3082360163866853E-4</v>
      </c>
      <c r="F319" s="60">
        <f>LN('Price Data'!F320/'Price Data'!F319)</f>
        <v>-4.1283301631382932E-3</v>
      </c>
    </row>
    <row r="320" spans="1:6" x14ac:dyDescent="0.35">
      <c r="A320" s="2">
        <v>45035</v>
      </c>
      <c r="B320" s="60">
        <f>LN('Price Data'!B321/'Price Data'!B320)</f>
        <v>4.9671696830287668E-3</v>
      </c>
      <c r="C320" s="60">
        <f>LN('Price Data'!C321/'Price Data'!C320)</f>
        <v>-1.3230893661668753E-2</v>
      </c>
      <c r="D320" s="60">
        <f>LN('Price Data'!D321/'Price Data'!D320)</f>
        <v>-5.5346053228614942E-3</v>
      </c>
      <c r="E320" s="60">
        <f>LN('Price Data'!E321/'Price Data'!E320)</f>
        <v>-2.1788163275668144E-2</v>
      </c>
      <c r="F320" s="60">
        <f>LN('Price Data'!F321/'Price Data'!F320)</f>
        <v>6.1366882487215912E-4</v>
      </c>
    </row>
    <row r="321" spans="1:6" x14ac:dyDescent="0.35">
      <c r="A321" s="2">
        <v>45036</v>
      </c>
      <c r="B321" s="60">
        <f>LN('Price Data'!B322/'Price Data'!B321)</f>
        <v>-2.5321455163661881E-3</v>
      </c>
      <c r="C321" s="60">
        <f>LN('Price Data'!C322/'Price Data'!C321)</f>
        <v>4.9077027319428448E-3</v>
      </c>
      <c r="D321" s="60">
        <f>LN('Price Data'!D322/'Price Data'!D321)</f>
        <v>2.7990837286729748E-3</v>
      </c>
      <c r="E321" s="60">
        <f>LN('Price Data'!E322/'Price Data'!E321)</f>
        <v>-7.1749480557938916E-3</v>
      </c>
      <c r="F321" s="60">
        <f>LN('Price Data'!F322/'Price Data'!F321)</f>
        <v>3.8867049248055693E-3</v>
      </c>
    </row>
    <row r="322" spans="1:6" x14ac:dyDescent="0.35">
      <c r="A322" s="2">
        <v>45037</v>
      </c>
      <c r="B322" s="60">
        <f>LN('Price Data'!B323/'Price Data'!B322)</f>
        <v>1.257495872390448E-3</v>
      </c>
      <c r="C322" s="60">
        <f>LN('Price Data'!C323/'Price Data'!C322)</f>
        <v>1.7891205569620452E-2</v>
      </c>
      <c r="D322" s="60">
        <f>LN('Price Data'!D323/'Price Data'!D322)</f>
        <v>-9.8312637022288391E-3</v>
      </c>
      <c r="E322" s="60">
        <f>LN('Price Data'!E323/'Price Data'!E322)</f>
        <v>3.2252665411854607E-3</v>
      </c>
      <c r="F322" s="60">
        <f>LN('Price Data'!F323/'Price Data'!F322)</f>
        <v>1.967914918329975E-2</v>
      </c>
    </row>
    <row r="323" spans="1:6" x14ac:dyDescent="0.35">
      <c r="A323" s="2">
        <v>45040</v>
      </c>
      <c r="B323" s="60">
        <f>LN('Price Data'!B324/'Price Data'!B323)</f>
        <v>3.8284276746726269E-3</v>
      </c>
      <c r="C323" s="60">
        <f>LN('Price Data'!C324/'Price Data'!C323)</f>
        <v>4.4050350072888126E-3</v>
      </c>
      <c r="D323" s="60">
        <f>LN('Price Data'!D324/'Price Data'!D323)</f>
        <v>2.1336823745245957E-2</v>
      </c>
      <c r="E323" s="60">
        <f>LN('Price Data'!E324/'Price Data'!E323)</f>
        <v>-8.5249400629908135E-4</v>
      </c>
      <c r="F323" s="60">
        <f>LN('Price Data'!F324/'Price Data'!F323)</f>
        <v>1.0935792372468794E-3</v>
      </c>
    </row>
    <row r="324" spans="1:6" x14ac:dyDescent="0.35">
      <c r="A324" s="2">
        <v>45041</v>
      </c>
      <c r="B324" s="60">
        <f>LN('Price Data'!B325/'Price Data'!B324)</f>
        <v>7.6224350297555265E-3</v>
      </c>
      <c r="C324" s="60">
        <f>LN('Price Data'!C325/'Price Data'!C324)</f>
        <v>3.7649232985673261E-4</v>
      </c>
      <c r="D324" s="60">
        <f>LN('Price Data'!D325/'Price Data'!D324)</f>
        <v>9.5699773387269132E-3</v>
      </c>
      <c r="E324" s="60">
        <f>LN('Price Data'!E325/'Price Data'!E324)</f>
        <v>-1.1405269813997744E-3</v>
      </c>
      <c r="F324" s="60">
        <f>LN('Price Data'!F325/'Price Data'!F324)</f>
        <v>6.9500552053138008E-3</v>
      </c>
    </row>
    <row r="325" spans="1:6" x14ac:dyDescent="0.35">
      <c r="A325" s="2">
        <v>45042</v>
      </c>
      <c r="B325" s="60">
        <f>LN('Price Data'!B326/'Price Data'!B325)</f>
        <v>-5.8862262486153944E-3</v>
      </c>
      <c r="C325" s="60">
        <f>LN('Price Data'!C326/'Price Data'!C325)</f>
        <v>6.9506564553497617E-3</v>
      </c>
      <c r="D325" s="60">
        <f>LN('Price Data'!D326/'Price Data'!D325)</f>
        <v>1.6407791911173819E-3</v>
      </c>
      <c r="E325" s="60">
        <f>LN('Price Data'!E326/'Price Data'!E325)</f>
        <v>2.1568788577494883E-3</v>
      </c>
      <c r="F325" s="60">
        <f>LN('Price Data'!F326/'Price Data'!F325)</f>
        <v>1.7041937609357466E-3</v>
      </c>
    </row>
    <row r="326" spans="1:6" x14ac:dyDescent="0.35">
      <c r="A326" s="2">
        <v>45043</v>
      </c>
      <c r="B326" s="60">
        <f>LN('Price Data'!B327/'Price Data'!B326)</f>
        <v>6.3033621992682719E-3</v>
      </c>
      <c r="C326" s="60">
        <f>LN('Price Data'!C327/'Price Data'!C326)</f>
        <v>-3.1935087274674741E-3</v>
      </c>
      <c r="D326" s="60">
        <f>LN('Price Data'!D327/'Price Data'!D326)</f>
        <v>3.7091626008476982E-3</v>
      </c>
      <c r="E326" s="60">
        <f>LN('Price Data'!E327/'Price Data'!E326)</f>
        <v>1.512260825323666E-2</v>
      </c>
      <c r="F326" s="60">
        <f>LN('Price Data'!F327/'Price Data'!F326)</f>
        <v>9.0403060668770002E-3</v>
      </c>
    </row>
    <row r="327" spans="1:6" x14ac:dyDescent="0.35">
      <c r="A327" s="2">
        <v>45044</v>
      </c>
      <c r="B327" s="60">
        <f>LN('Price Data'!B328/'Price Data'!B327)</f>
        <v>1.8120114650766357E-2</v>
      </c>
      <c r="C327" s="60">
        <f>LN('Price Data'!C328/'Price Data'!C327)</f>
        <v>9.7685660726752124E-3</v>
      </c>
      <c r="D327" s="60">
        <f>LN('Price Data'!D328/'Price Data'!D327)</f>
        <v>-7.6252727006296595E-4</v>
      </c>
      <c r="E327" s="60">
        <f>LN('Price Data'!E328/'Price Data'!E327)</f>
        <v>5.1992068829672874E-3</v>
      </c>
      <c r="F327" s="60">
        <f>LN('Price Data'!F328/'Price Data'!F327)</f>
        <v>2.269952375813199E-2</v>
      </c>
    </row>
    <row r="328" spans="1:6" x14ac:dyDescent="0.35">
      <c r="A328" s="2">
        <v>45048</v>
      </c>
      <c r="B328" s="60">
        <f>LN('Price Data'!B329/'Price Data'!B328)</f>
        <v>8.4466697590835395E-3</v>
      </c>
      <c r="C328" s="60">
        <f>LN('Price Data'!C329/'Price Data'!C328)</f>
        <v>4.680953979276854E-5</v>
      </c>
      <c r="D328" s="60">
        <f>LN('Price Data'!D329/'Price Data'!D328)</f>
        <v>4.8376232406146533E-3</v>
      </c>
      <c r="E328" s="60">
        <f>LN('Price Data'!E329/'Price Data'!E328)</f>
        <v>1.9523517395199034E-2</v>
      </c>
      <c r="F328" s="60">
        <f>LN('Price Data'!F329/'Price Data'!F328)</f>
        <v>-2.5776112571065752E-3</v>
      </c>
    </row>
    <row r="329" spans="1:6" x14ac:dyDescent="0.35">
      <c r="A329" s="2">
        <v>45049</v>
      </c>
      <c r="B329" s="60">
        <f>LN('Price Data'!B330/'Price Data'!B329)</f>
        <v>-8.619610063252351E-3</v>
      </c>
      <c r="C329" s="60">
        <f>LN('Price Data'!C330/'Price Data'!C329)</f>
        <v>-1.2345952116577573E-2</v>
      </c>
      <c r="D329" s="60">
        <f>LN('Price Data'!D330/'Price Data'!D329)</f>
        <v>8.1303020820468338E-4</v>
      </c>
      <c r="E329" s="60">
        <f>LN('Price Data'!E330/'Price Data'!E329)</f>
        <v>-6.5157615223084987E-3</v>
      </c>
      <c r="F329" s="60">
        <f>LN('Price Data'!F330/'Price Data'!F329)</f>
        <v>6.3195704206097277E-3</v>
      </c>
    </row>
    <row r="330" spans="1:6" x14ac:dyDescent="0.35">
      <c r="A330" s="2">
        <v>45050</v>
      </c>
      <c r="B330" s="60">
        <f>LN('Price Data'!B331/'Price Data'!B330)</f>
        <v>1.1467382435897944E-2</v>
      </c>
      <c r="C330" s="60">
        <f>LN('Price Data'!C331/'Price Data'!C330)</f>
        <v>1.2751543036901191E-2</v>
      </c>
      <c r="D330" s="60">
        <f>LN('Price Data'!D331/'Price Data'!D330)</f>
        <v>-1.2469167536816438E-3</v>
      </c>
      <c r="E330" s="60">
        <f>LN('Price Data'!E331/'Price Data'!E330)</f>
        <v>3.4566666149306925E-3</v>
      </c>
      <c r="F330" s="60">
        <f>LN('Price Data'!F331/'Price Data'!F330)</f>
        <v>-5.9688250831794604E-3</v>
      </c>
    </row>
    <row r="331" spans="1:6" x14ac:dyDescent="0.35">
      <c r="A331" s="2">
        <v>45051</v>
      </c>
      <c r="B331" s="60">
        <f>LN('Price Data'!B332/'Price Data'!B331)</f>
        <v>-2.5590210396759959E-3</v>
      </c>
      <c r="C331" s="60">
        <f>LN('Price Data'!C332/'Price Data'!C331)</f>
        <v>3.098894509233209E-3</v>
      </c>
      <c r="D331" s="60">
        <f>LN('Price Data'!D332/'Price Data'!D331)</f>
        <v>5.6798356789827175E-3</v>
      </c>
      <c r="E331" s="60">
        <f>LN('Price Data'!E332/'Price Data'!E331)</f>
        <v>-1.1411904903389723E-2</v>
      </c>
      <c r="F331" s="60">
        <f>LN('Price Data'!F332/'Price Data'!F331)</f>
        <v>9.7216409896060275E-3</v>
      </c>
    </row>
    <row r="332" spans="1:6" x14ac:dyDescent="0.35">
      <c r="A332" s="2">
        <v>45054</v>
      </c>
      <c r="B332" s="60">
        <f>LN('Price Data'!B333/'Price Data'!B332)</f>
        <v>1.2275703929753648E-2</v>
      </c>
      <c r="C332" s="60">
        <f>LN('Price Data'!C333/'Price Data'!C332)</f>
        <v>6.1413124455974716E-3</v>
      </c>
      <c r="D332" s="60">
        <f>LN('Price Data'!D333/'Price Data'!D332)</f>
        <v>1.1743706836291515E-2</v>
      </c>
      <c r="E332" s="60">
        <f>LN('Price Data'!E333/'Price Data'!E332)</f>
        <v>5.154260479744828E-3</v>
      </c>
      <c r="F332" s="60">
        <f>LN('Price Data'!F333/'Price Data'!F332)</f>
        <v>6.2810859582989311E-3</v>
      </c>
    </row>
    <row r="333" spans="1:6" x14ac:dyDescent="0.35">
      <c r="A333" s="2">
        <v>45055</v>
      </c>
      <c r="B333" s="60">
        <f>LN('Price Data'!B334/'Price Data'!B333)</f>
        <v>3.0877267470164936E-3</v>
      </c>
      <c r="C333" s="60">
        <f>LN('Price Data'!C334/'Price Data'!C333)</f>
        <v>9.9943633882308928E-3</v>
      </c>
      <c r="D333" s="60">
        <f>LN('Price Data'!D334/'Price Data'!D333)</f>
        <v>-3.7387214409301708E-3</v>
      </c>
      <c r="E333" s="60">
        <f>LN('Price Data'!E334/'Price Data'!E333)</f>
        <v>4.0204804978406549E-3</v>
      </c>
      <c r="F333" s="60">
        <f>LN('Price Data'!F334/'Price Data'!F333)</f>
        <v>-1.7908253549964306E-2</v>
      </c>
    </row>
    <row r="334" spans="1:6" x14ac:dyDescent="0.35">
      <c r="A334" s="2">
        <v>45056</v>
      </c>
      <c r="B334" s="60">
        <f>LN('Price Data'!B335/'Price Data'!B334)</f>
        <v>6.8531625299413455E-3</v>
      </c>
      <c r="C334" s="60">
        <f>LN('Price Data'!C335/'Price Data'!C334)</f>
        <v>1.0795520754863386E-3</v>
      </c>
      <c r="D334" s="60">
        <f>LN('Price Data'!D335/'Price Data'!D334)</f>
        <v>1.7642817803148303E-3</v>
      </c>
      <c r="E334" s="60">
        <f>LN('Price Data'!E335/'Price Data'!E334)</f>
        <v>-5.8815528214762247E-3</v>
      </c>
      <c r="F334" s="60">
        <f>LN('Price Data'!F335/'Price Data'!F334)</f>
        <v>3.6574103246377132E-3</v>
      </c>
    </row>
    <row r="335" spans="1:6" x14ac:dyDescent="0.35">
      <c r="A335" s="2">
        <v>45057</v>
      </c>
      <c r="B335" s="60">
        <f>LN('Price Data'!B336/'Price Data'!B335)</f>
        <v>-6.5511309209258231E-3</v>
      </c>
      <c r="C335" s="60">
        <f>LN('Price Data'!C336/'Price Data'!C335)</f>
        <v>-1.4161947110885994E-3</v>
      </c>
      <c r="D335" s="60">
        <f>LN('Price Data'!D336/'Price Data'!D335)</f>
        <v>3.3595552195548068E-3</v>
      </c>
      <c r="E335" s="60">
        <f>LN('Price Data'!E336/'Price Data'!E335)</f>
        <v>-5.6761407850737409E-3</v>
      </c>
      <c r="F335" s="60">
        <f>LN('Price Data'!F336/'Price Data'!F335)</f>
        <v>-1.1695451410399783E-2</v>
      </c>
    </row>
    <row r="336" spans="1:6" x14ac:dyDescent="0.35">
      <c r="A336" s="2">
        <v>45058</v>
      </c>
      <c r="B336" s="60">
        <f>LN('Price Data'!B337/'Price Data'!B336)</f>
        <v>1.6329432098543023E-3</v>
      </c>
      <c r="C336" s="60">
        <f>LN('Price Data'!C337/'Price Data'!C336)</f>
        <v>-2.3934270359961727E-3</v>
      </c>
      <c r="D336" s="60">
        <f>LN('Price Data'!D337/'Price Data'!D336)</f>
        <v>4.9917792570665399E-3</v>
      </c>
      <c r="E336" s="60">
        <f>LN('Price Data'!E337/'Price Data'!E336)</f>
        <v>-8.7164039684263003E-3</v>
      </c>
      <c r="F336" s="60">
        <f>LN('Price Data'!F337/'Price Data'!F336)</f>
        <v>1.264878130677928E-4</v>
      </c>
    </row>
    <row r="337" spans="1:6" x14ac:dyDescent="0.35">
      <c r="A337" s="2">
        <v>45061</v>
      </c>
      <c r="B337" s="60">
        <f>LN('Price Data'!B338/'Price Data'!B337)</f>
        <v>1.966638657298765E-3</v>
      </c>
      <c r="C337" s="60">
        <f>LN('Price Data'!C338/'Price Data'!C337)</f>
        <v>-5.8960910833612051E-3</v>
      </c>
      <c r="D337" s="60">
        <f>LN('Price Data'!D338/'Price Data'!D337)</f>
        <v>1.9580351822398485E-3</v>
      </c>
      <c r="E337" s="60">
        <f>LN('Price Data'!E338/'Price Data'!E337)</f>
        <v>1.0508146436921696E-2</v>
      </c>
      <c r="F337" s="60">
        <f>LN('Price Data'!F338/'Price Data'!F337)</f>
        <v>1.7328500805231257E-2</v>
      </c>
    </row>
    <row r="338" spans="1:6" x14ac:dyDescent="0.35">
      <c r="A338" s="2">
        <v>45062</v>
      </c>
      <c r="B338" s="60">
        <f>LN('Price Data'!B339/'Price Data'!B338)</f>
        <v>-1.4342051440656731E-2</v>
      </c>
      <c r="C338" s="60">
        <f>LN('Price Data'!C339/'Price Data'!C338)</f>
        <v>9.5015400876019714E-4</v>
      </c>
      <c r="D338" s="60">
        <f>LN('Price Data'!D339/'Price Data'!D338)</f>
        <v>6.3421597178953831E-4</v>
      </c>
      <c r="E338" s="60">
        <f>LN('Price Data'!E339/'Price Data'!E338)</f>
        <v>4.7119692046697706E-3</v>
      </c>
      <c r="F338" s="60">
        <f>LN('Price Data'!F339/'Price Data'!F338)</f>
        <v>-9.0405690418880851E-3</v>
      </c>
    </row>
    <row r="339" spans="1:6" x14ac:dyDescent="0.35">
      <c r="A339" s="2">
        <v>45063</v>
      </c>
      <c r="B339" s="60">
        <f>LN('Price Data'!B340/'Price Data'!B339)</f>
        <v>-5.9249561025859609E-3</v>
      </c>
      <c r="C339" s="60">
        <f>LN('Price Data'!C340/'Price Data'!C339)</f>
        <v>-1.5293088816929902E-2</v>
      </c>
      <c r="D339" s="60">
        <f>LN('Price Data'!D340/'Price Data'!D339)</f>
        <v>-7.42433277162025E-3</v>
      </c>
      <c r="E339" s="60">
        <f>LN('Price Data'!E340/'Price Data'!E339)</f>
        <v>-1.3856183755860134E-2</v>
      </c>
      <c r="F339" s="60">
        <f>LN('Price Data'!F340/'Price Data'!F339)</f>
        <v>8.5680908852129572E-3</v>
      </c>
    </row>
    <row r="340" spans="1:6" x14ac:dyDescent="0.35">
      <c r="A340" s="2">
        <v>45064</v>
      </c>
      <c r="B340" s="60">
        <f>LN('Price Data'!B341/'Price Data'!B340)</f>
        <v>-2.1517439229381992E-3</v>
      </c>
      <c r="C340" s="60">
        <f>LN('Price Data'!C341/'Price Data'!C340)</f>
        <v>-2.7621945171521231E-3</v>
      </c>
      <c r="D340" s="60">
        <f>LN('Price Data'!D341/'Price Data'!D340)</f>
        <v>7.5828239360696426E-3</v>
      </c>
      <c r="E340" s="60">
        <f>LN('Price Data'!E341/'Price Data'!E340)</f>
        <v>-7.1805177091751823E-4</v>
      </c>
      <c r="F340" s="60">
        <f>LN('Price Data'!F341/'Price Data'!F340)</f>
        <v>-1.8653650770529061E-2</v>
      </c>
    </row>
    <row r="341" spans="1:6" x14ac:dyDescent="0.35">
      <c r="A341" s="2">
        <v>45065</v>
      </c>
      <c r="B341" s="60">
        <f>LN('Price Data'!B342/'Price Data'!B341)</f>
        <v>3.234903605322954E-3</v>
      </c>
      <c r="C341" s="60">
        <f>LN('Price Data'!C342/'Price Data'!C341)</f>
        <v>7.1640267107057481E-3</v>
      </c>
      <c r="D341" s="60">
        <f>LN('Price Data'!D342/'Price Data'!D341)</f>
        <v>8.2071167738304324E-3</v>
      </c>
      <c r="E341" s="60">
        <f>LN('Price Data'!E342/'Price Data'!E341)</f>
        <v>1.8210603170161446E-2</v>
      </c>
      <c r="F341" s="60">
        <f>LN('Price Data'!F342/'Price Data'!F341)</f>
        <v>3.5471774974152282E-4</v>
      </c>
    </row>
    <row r="342" spans="1:6" x14ac:dyDescent="0.35">
      <c r="A342" s="2">
        <v>45068</v>
      </c>
      <c r="B342" s="60">
        <f>LN('Price Data'!B343/'Price Data'!B342)</f>
        <v>5.3354573749143748E-3</v>
      </c>
      <c r="C342" s="60">
        <f>LN('Price Data'!C343/'Price Data'!C342)</f>
        <v>2.3262308321141862E-2</v>
      </c>
      <c r="D342" s="60">
        <f>LN('Price Data'!D343/'Price Data'!D342)</f>
        <v>-4.1477496263614281E-3</v>
      </c>
      <c r="E342" s="60">
        <f>LN('Price Data'!E343/'Price Data'!E342)</f>
        <v>1.8663073343404307E-2</v>
      </c>
      <c r="F342" s="60">
        <f>LN('Price Data'!F343/'Price Data'!F342)</f>
        <v>1.1610612605256816E-2</v>
      </c>
    </row>
    <row r="343" spans="1:6" x14ac:dyDescent="0.35">
      <c r="A343" s="2">
        <v>45069</v>
      </c>
      <c r="B343" s="60">
        <f>LN('Price Data'!B344/'Price Data'!B343)</f>
        <v>-1.884599685196212E-4</v>
      </c>
      <c r="C343" s="60">
        <f>LN('Price Data'!C344/'Price Data'!C343)</f>
        <v>-5.0264039575734904E-4</v>
      </c>
      <c r="D343" s="60">
        <f>LN('Price Data'!D344/'Price Data'!D343)</f>
        <v>3.2042049738786713E-3</v>
      </c>
      <c r="E343" s="60">
        <f>LN('Price Data'!E344/'Price Data'!E343)</f>
        <v>5.5927819895687575E-3</v>
      </c>
      <c r="F343" s="60">
        <f>LN('Price Data'!F344/'Price Data'!F343)</f>
        <v>1.031322196899525E-2</v>
      </c>
    </row>
    <row r="344" spans="1:6" x14ac:dyDescent="0.35">
      <c r="A344" s="2">
        <v>45070</v>
      </c>
      <c r="B344" s="60">
        <f>LN('Price Data'!B345/'Price Data'!B344)</f>
        <v>-5.8418899741891654E-3</v>
      </c>
      <c r="C344" s="60">
        <f>LN('Price Data'!C345/'Price Data'!C344)</f>
        <v>1.9086909043508162E-3</v>
      </c>
      <c r="D344" s="60">
        <f>LN('Price Data'!D345/'Price Data'!D344)</f>
        <v>-1.3463417113585742E-2</v>
      </c>
      <c r="E344" s="60">
        <f>LN('Price Data'!E345/'Price Data'!E344)</f>
        <v>-1.0835327319509314E-3</v>
      </c>
      <c r="F344" s="60">
        <f>LN('Price Data'!F345/'Price Data'!F344)</f>
        <v>1.0085279480884043E-2</v>
      </c>
    </row>
    <row r="345" spans="1:6" x14ac:dyDescent="0.35">
      <c r="A345" s="2">
        <v>45071</v>
      </c>
      <c r="B345" s="60">
        <f>LN('Price Data'!B346/'Price Data'!B345)</f>
        <v>-1.1736718336762066E-4</v>
      </c>
      <c r="C345" s="60">
        <f>LN('Price Data'!C346/'Price Data'!C345)</f>
        <v>-2.984885912301235E-3</v>
      </c>
      <c r="D345" s="60">
        <f>LN('Price Data'!D346/'Price Data'!D345)</f>
        <v>-8.5083759453511028E-4</v>
      </c>
      <c r="E345" s="60">
        <f>LN('Price Data'!E346/'Price Data'!E345)</f>
        <v>4.381074921728666E-3</v>
      </c>
      <c r="F345" s="60">
        <f>LN('Price Data'!F346/'Price Data'!F345)</f>
        <v>1.7486491994341043E-2</v>
      </c>
    </row>
    <row r="346" spans="1:6" x14ac:dyDescent="0.35">
      <c r="A346" s="2">
        <v>45072</v>
      </c>
      <c r="B346" s="60">
        <f>LN('Price Data'!B347/'Price Data'!B346)</f>
        <v>2.6901779956894679E-2</v>
      </c>
      <c r="C346" s="60">
        <f>LN('Price Data'!C347/'Price Data'!C346)</f>
        <v>1.0692076506649903E-2</v>
      </c>
      <c r="D346" s="60">
        <f>LN('Price Data'!D347/'Price Data'!D346)</f>
        <v>1.1478267302380329E-2</v>
      </c>
      <c r="E346" s="60">
        <f>LN('Price Data'!E347/'Price Data'!E346)</f>
        <v>9.9958256402823392E-3</v>
      </c>
      <c r="F346" s="60">
        <f>LN('Price Data'!F347/'Price Data'!F346)</f>
        <v>5.5297907361637781E-3</v>
      </c>
    </row>
    <row r="347" spans="1:6" x14ac:dyDescent="0.35">
      <c r="A347" s="2">
        <v>45075</v>
      </c>
      <c r="B347" s="60">
        <f>LN('Price Data'!B348/'Price Data'!B347)</f>
        <v>5.6092770018363793E-3</v>
      </c>
      <c r="C347" s="60">
        <f>LN('Price Data'!C348/'Price Data'!C347)</f>
        <v>-2.5715461116678851E-3</v>
      </c>
      <c r="D347" s="60">
        <f>LN('Price Data'!D348/'Price Data'!D347)</f>
        <v>-2.685837778567434E-3</v>
      </c>
      <c r="E347" s="60">
        <f>LN('Price Data'!E348/'Price Data'!E347)</f>
        <v>-2.32318319306523E-3</v>
      </c>
      <c r="F347" s="60">
        <f>LN('Price Data'!F348/'Price Data'!F347)</f>
        <v>1.231950576651711E-2</v>
      </c>
    </row>
    <row r="348" spans="1:6" x14ac:dyDescent="0.35">
      <c r="A348" s="2">
        <v>45076</v>
      </c>
      <c r="B348" s="60">
        <f>LN('Price Data'!B349/'Price Data'!B348)</f>
        <v>-2.5349096527862584E-4</v>
      </c>
      <c r="C348" s="60">
        <f>LN('Price Data'!C349/'Price Data'!C348)</f>
        <v>-1.2503880707830479E-3</v>
      </c>
      <c r="D348" s="60">
        <f>LN('Price Data'!D349/'Price Data'!D348)</f>
        <v>1.8966340441315885E-3</v>
      </c>
      <c r="E348" s="60">
        <f>LN('Price Data'!E349/'Price Data'!E348)</f>
        <v>7.1661395461854131E-3</v>
      </c>
      <c r="F348" s="60">
        <f>LN('Price Data'!F349/'Price Data'!F348)</f>
        <v>7.9258783040944553E-3</v>
      </c>
    </row>
    <row r="349" spans="1:6" x14ac:dyDescent="0.35">
      <c r="A349" s="2">
        <v>45077</v>
      </c>
      <c r="B349" s="60">
        <f>LN('Price Data'!B350/'Price Data'!B349)</f>
        <v>-2.0062128740107266E-2</v>
      </c>
      <c r="C349" s="60">
        <f>LN('Price Data'!C350/'Price Data'!C349)</f>
        <v>-8.0849200288906145E-3</v>
      </c>
      <c r="D349" s="60">
        <f>LN('Price Data'!D350/'Price Data'!D349)</f>
        <v>-8.4250439399813999E-4</v>
      </c>
      <c r="E349" s="60">
        <f>LN('Price Data'!E350/'Price Data'!E349)</f>
        <v>-4.2019747136112099E-3</v>
      </c>
      <c r="F349" s="60">
        <f>LN('Price Data'!F350/'Price Data'!F349)</f>
        <v>-9.822287548512651E-3</v>
      </c>
    </row>
    <row r="350" spans="1:6" x14ac:dyDescent="0.35">
      <c r="A350" s="2">
        <v>45078</v>
      </c>
      <c r="B350" s="60">
        <f>LN('Price Data'!B351/'Price Data'!B350)</f>
        <v>-2.6972731040466312E-3</v>
      </c>
      <c r="C350" s="60">
        <f>LN('Price Data'!C351/'Price Data'!C350)</f>
        <v>1.0433027946630645E-2</v>
      </c>
      <c r="D350" s="60">
        <f>LN('Price Data'!D351/'Price Data'!D350)</f>
        <v>-1.3844538858851846E-2</v>
      </c>
      <c r="E350" s="60">
        <f>LN('Price Data'!E351/'Price Data'!E350)</f>
        <v>9.1497593134475951E-4</v>
      </c>
      <c r="F350" s="60">
        <f>LN('Price Data'!F351/'Price Data'!F350)</f>
        <v>-1.3112044651459214E-2</v>
      </c>
    </row>
    <row r="351" spans="1:6" x14ac:dyDescent="0.35">
      <c r="A351" s="2">
        <v>45079</v>
      </c>
      <c r="B351" s="60">
        <f>LN('Price Data'!B352/'Price Data'!B351)</f>
        <v>-3.2696893366167541E-3</v>
      </c>
      <c r="C351" s="60">
        <f>LN('Price Data'!C352/'Price Data'!C351)</f>
        <v>-5.5523538540640143E-3</v>
      </c>
      <c r="D351" s="60">
        <f>LN('Price Data'!D352/'Price Data'!D351)</f>
        <v>2.1875425556844826E-3</v>
      </c>
      <c r="E351" s="60">
        <f>LN('Price Data'!E352/'Price Data'!E351)</f>
        <v>-1.5661864863453459E-2</v>
      </c>
      <c r="F351" s="60">
        <f>LN('Price Data'!F352/'Price Data'!F351)</f>
        <v>8.3790679599168253E-3</v>
      </c>
    </row>
    <row r="352" spans="1:6" x14ac:dyDescent="0.35">
      <c r="A352" s="2">
        <v>45082</v>
      </c>
      <c r="B352" s="60">
        <f>LN('Price Data'!B353/'Price Data'!B352)</f>
        <v>8.9415912471689698E-3</v>
      </c>
      <c r="C352" s="60">
        <f>LN('Price Data'!C353/'Price Data'!C352)</f>
        <v>-5.0639344785982175E-3</v>
      </c>
      <c r="D352" s="60">
        <f>LN('Price Data'!D353/'Price Data'!D352)</f>
        <v>9.1252158485207058E-3</v>
      </c>
      <c r="E352" s="60">
        <f>LN('Price Data'!E353/'Price Data'!E352)</f>
        <v>4.2257229024510188E-3</v>
      </c>
      <c r="F352" s="60">
        <f>LN('Price Data'!F353/'Price Data'!F352)</f>
        <v>-6.2177357384240895E-3</v>
      </c>
    </row>
    <row r="353" spans="1:6" x14ac:dyDescent="0.35">
      <c r="A353" s="2">
        <v>45083</v>
      </c>
      <c r="B353" s="60">
        <f>LN('Price Data'!B354/'Price Data'!B353)</f>
        <v>8.4446326047707442E-4</v>
      </c>
      <c r="C353" s="60">
        <f>LN('Price Data'!C354/'Price Data'!C353)</f>
        <v>-1.7359535749605432E-2</v>
      </c>
      <c r="D353" s="60">
        <f>LN('Price Data'!D354/'Price Data'!D353)</f>
        <v>-4.9236407272821598E-3</v>
      </c>
      <c r="E353" s="60">
        <f>LN('Price Data'!E354/'Price Data'!E353)</f>
        <v>-1.9743578322285012E-2</v>
      </c>
      <c r="F353" s="60">
        <f>LN('Price Data'!F354/'Price Data'!F353)</f>
        <v>4.8579216086883977E-3</v>
      </c>
    </row>
    <row r="354" spans="1:6" x14ac:dyDescent="0.35">
      <c r="A354" s="2">
        <v>45084</v>
      </c>
      <c r="B354" s="60">
        <f>LN('Price Data'!B355/'Price Data'!B354)</f>
        <v>7.5506127880184872E-3</v>
      </c>
      <c r="C354" s="60">
        <f>LN('Price Data'!C355/'Price Data'!C354)</f>
        <v>1.30953719338629E-2</v>
      </c>
      <c r="D354" s="60">
        <f>LN('Price Data'!D355/'Price Data'!D354)</f>
        <v>-2.0188074645918525E-3</v>
      </c>
      <c r="E354" s="60">
        <f>LN('Price Data'!E355/'Price Data'!E354)</f>
        <v>7.7539197055474024E-3</v>
      </c>
      <c r="F354" s="60">
        <f>LN('Price Data'!F355/'Price Data'!F354)</f>
        <v>2.5987354737592359E-3</v>
      </c>
    </row>
    <row r="355" spans="1:6" x14ac:dyDescent="0.35">
      <c r="A355" s="2">
        <v>45085</v>
      </c>
      <c r="B355" s="60">
        <f>LN('Price Data'!B356/'Price Data'!B355)</f>
        <v>5.9947811937066404E-4</v>
      </c>
      <c r="C355" s="60">
        <f>LN('Price Data'!C356/'Price Data'!C355)</f>
        <v>-1.1812545938042141E-2</v>
      </c>
      <c r="D355" s="60">
        <f>LN('Price Data'!D356/'Price Data'!D355)</f>
        <v>-2.4492850751373571E-3</v>
      </c>
      <c r="E355" s="60">
        <f>LN('Price Data'!E356/'Price Data'!E355)</f>
        <v>-4.7862323219327587E-3</v>
      </c>
      <c r="F355" s="60">
        <f>LN('Price Data'!F356/'Price Data'!F355)</f>
        <v>-2.3600378070888629E-3</v>
      </c>
    </row>
    <row r="356" spans="1:6" x14ac:dyDescent="0.35">
      <c r="A356" s="2">
        <v>45086</v>
      </c>
      <c r="B356" s="60">
        <f>LN('Price Data'!B357/'Price Data'!B356)</f>
        <v>-7.1021706665597359E-3</v>
      </c>
      <c r="C356" s="60">
        <f>LN('Price Data'!C357/'Price Data'!C356)</f>
        <v>-8.4227168050923368E-3</v>
      </c>
      <c r="D356" s="60">
        <f>LN('Price Data'!D357/'Price Data'!D356)</f>
        <v>1.5991897472721048E-4</v>
      </c>
      <c r="E356" s="60">
        <f>LN('Price Data'!E357/'Price Data'!E356)</f>
        <v>-1.3217946056612731E-2</v>
      </c>
      <c r="F356" s="60">
        <f>LN('Price Data'!F357/'Price Data'!F356)</f>
        <v>-1.0098794103654612E-2</v>
      </c>
    </row>
    <row r="357" spans="1:6" x14ac:dyDescent="0.35">
      <c r="A357" s="2">
        <v>45089</v>
      </c>
      <c r="B357" s="60">
        <f>LN('Price Data'!B358/'Price Data'!B357)</f>
        <v>8.87209164510727E-4</v>
      </c>
      <c r="C357" s="60">
        <f>LN('Price Data'!C358/'Price Data'!C357)</f>
        <v>1.1648900948199585E-2</v>
      </c>
      <c r="D357" s="60">
        <f>LN('Price Data'!D358/'Price Data'!D357)</f>
        <v>-2.241196242281673E-3</v>
      </c>
      <c r="E357" s="60">
        <f>LN('Price Data'!E358/'Price Data'!E357)</f>
        <v>2.0326462429029787E-2</v>
      </c>
      <c r="F357" s="60">
        <f>LN('Price Data'!F358/'Price Data'!F357)</f>
        <v>-3.429375206299341E-3</v>
      </c>
    </row>
    <row r="358" spans="1:6" x14ac:dyDescent="0.35">
      <c r="A358" s="2">
        <v>45090</v>
      </c>
      <c r="B358" s="60">
        <f>LN('Price Data'!B359/'Price Data'!B358)</f>
        <v>1.4666272253242426E-2</v>
      </c>
      <c r="C358" s="60">
        <f>LN('Price Data'!C359/'Price Data'!C358)</f>
        <v>-9.8751375917241068E-4</v>
      </c>
      <c r="D358" s="60">
        <f>LN('Price Data'!D359/'Price Data'!D358)</f>
        <v>8.0873013277664545E-3</v>
      </c>
      <c r="E358" s="60">
        <f>LN('Price Data'!E359/'Price Data'!E358)</f>
        <v>9.9371521555384566E-3</v>
      </c>
      <c r="F358" s="60">
        <f>LN('Price Data'!F359/'Price Data'!F358)</f>
        <v>1.9144958239433241E-2</v>
      </c>
    </row>
    <row r="359" spans="1:6" x14ac:dyDescent="0.35">
      <c r="A359" s="2">
        <v>45091</v>
      </c>
      <c r="B359" s="60">
        <f>LN('Price Data'!B360/'Price Data'!B359)</f>
        <v>1.2220854330093959E-2</v>
      </c>
      <c r="C359" s="60">
        <f>LN('Price Data'!C360/'Price Data'!C359)</f>
        <v>2.2645721842145328E-3</v>
      </c>
      <c r="D359" s="60">
        <f>LN('Price Data'!D360/'Price Data'!D359)</f>
        <v>-3.9822709063893858E-3</v>
      </c>
      <c r="E359" s="60">
        <f>LN('Price Data'!E360/'Price Data'!E359)</f>
        <v>-3.4199944553731502E-3</v>
      </c>
      <c r="F359" s="60">
        <f>LN('Price Data'!F360/'Price Data'!F359)</f>
        <v>-2.0193628053596546E-3</v>
      </c>
    </row>
    <row r="360" spans="1:6" x14ac:dyDescent="0.35">
      <c r="A360" s="2">
        <v>45092</v>
      </c>
      <c r="B360" s="60">
        <f>LN('Price Data'!B361/'Price Data'!B360)</f>
        <v>2.762144823004724E-4</v>
      </c>
      <c r="C360" s="60">
        <f>LN('Price Data'!C361/'Price Data'!C360)</f>
        <v>-1.074646110821492E-2</v>
      </c>
      <c r="D360" s="60">
        <f>LN('Price Data'!D361/'Price Data'!D360)</f>
        <v>-1.4145113686167323E-2</v>
      </c>
      <c r="E360" s="60">
        <f>LN('Price Data'!E361/'Price Data'!E360)</f>
        <v>-1.0510455523202631E-2</v>
      </c>
      <c r="F360" s="60">
        <f>LN('Price Data'!F361/'Price Data'!F360)</f>
        <v>8.0766891367883512E-3</v>
      </c>
    </row>
    <row r="361" spans="1:6" x14ac:dyDescent="0.35">
      <c r="A361" s="2">
        <v>45093</v>
      </c>
      <c r="B361" s="60">
        <f>LN('Price Data'!B362/'Price Data'!B361)</f>
        <v>9.6881340423652755E-3</v>
      </c>
      <c r="C361" s="60">
        <f>LN('Price Data'!C362/'Price Data'!C361)</f>
        <v>-1.295577663014268E-2</v>
      </c>
      <c r="D361" s="60">
        <f>LN('Price Data'!D362/'Price Data'!D361)</f>
        <v>8.168575085459635E-3</v>
      </c>
      <c r="E361" s="60">
        <f>LN('Price Data'!E362/'Price Data'!E361)</f>
        <v>3.7597548189243803E-3</v>
      </c>
      <c r="F361" s="60">
        <f>LN('Price Data'!F362/'Price Data'!F361)</f>
        <v>1.1096237246507495E-2</v>
      </c>
    </row>
    <row r="362" spans="1:6" x14ac:dyDescent="0.35">
      <c r="A362" s="2">
        <v>45096</v>
      </c>
      <c r="B362" s="60">
        <f>LN('Price Data'!B363/'Price Data'!B362)</f>
        <v>-9.9816144632857082E-3</v>
      </c>
      <c r="C362" s="60">
        <f>LN('Price Data'!C363/'Price Data'!C362)</f>
        <v>1.1117431622917229E-2</v>
      </c>
      <c r="D362" s="60">
        <f>LN('Price Data'!D363/'Price Data'!D362)</f>
        <v>-1.1898813226255559E-2</v>
      </c>
      <c r="E362" s="60">
        <f>LN('Price Data'!E363/'Price Data'!E362)</f>
        <v>1.820190611282914E-3</v>
      </c>
      <c r="F362" s="60">
        <f>LN('Price Data'!F363/'Price Data'!F362)</f>
        <v>1.0958905206371096E-3</v>
      </c>
    </row>
    <row r="363" spans="1:6" x14ac:dyDescent="0.35">
      <c r="A363" s="2">
        <v>45097</v>
      </c>
      <c r="B363" s="60">
        <f>LN('Price Data'!B364/'Price Data'!B363)</f>
        <v>2.0697870334820305E-3</v>
      </c>
      <c r="C363" s="60">
        <f>LN('Price Data'!C364/'Price Data'!C363)</f>
        <v>5.3742093021129853E-3</v>
      </c>
      <c r="D363" s="60">
        <f>LN('Price Data'!D364/'Price Data'!D363)</f>
        <v>2.5964205639420193E-3</v>
      </c>
      <c r="E363" s="60">
        <f>LN('Price Data'!E364/'Price Data'!E363)</f>
        <v>7.2400958964653327E-3</v>
      </c>
      <c r="F363" s="60">
        <f>LN('Price Data'!F364/'Price Data'!F363)</f>
        <v>-1.6559577433420604E-3</v>
      </c>
    </row>
    <row r="364" spans="1:6" x14ac:dyDescent="0.35">
      <c r="A364" s="2">
        <v>45098</v>
      </c>
      <c r="B364" s="60">
        <f>LN('Price Data'!B365/'Price Data'!B364)</f>
        <v>2.8132075763863209E-3</v>
      </c>
      <c r="C364" s="60">
        <f>LN('Price Data'!C365/'Price Data'!C364)</f>
        <v>9.4053029293057738E-3</v>
      </c>
      <c r="D364" s="60">
        <f>LN('Price Data'!D365/'Price Data'!D364)</f>
        <v>-9.1879482210106746E-4</v>
      </c>
      <c r="E364" s="60">
        <f>LN('Price Data'!E365/'Price Data'!E364)</f>
        <v>-3.1141719878784091E-3</v>
      </c>
      <c r="F364" s="60">
        <f>LN('Price Data'!F365/'Price Data'!F364)</f>
        <v>-1.2874302709267883E-2</v>
      </c>
    </row>
    <row r="365" spans="1:6" x14ac:dyDescent="0.35">
      <c r="A365" s="2">
        <v>45099</v>
      </c>
      <c r="B365" s="60">
        <f>LN('Price Data'!B366/'Price Data'!B365)</f>
        <v>-1.1291940540471574E-2</v>
      </c>
      <c r="C365" s="60">
        <f>LN('Price Data'!C366/'Price Data'!C365)</f>
        <v>-6.0649076456530211E-3</v>
      </c>
      <c r="D365" s="60">
        <f>LN('Price Data'!D366/'Price Data'!D365)</f>
        <v>1.1348592101290496E-3</v>
      </c>
      <c r="E365" s="60">
        <f>LN('Price Data'!E366/'Price Data'!E365)</f>
        <v>-1.3793644612336035E-2</v>
      </c>
      <c r="F365" s="60">
        <f>LN('Price Data'!F366/'Price Data'!F365)</f>
        <v>1.3232516108532943E-3</v>
      </c>
    </row>
    <row r="366" spans="1:6" x14ac:dyDescent="0.35">
      <c r="A366" s="2">
        <v>45100</v>
      </c>
      <c r="B366" s="60">
        <f>LN('Price Data'!B367/'Price Data'!B366)</f>
        <v>-8.2182921569809494E-3</v>
      </c>
      <c r="C366" s="60">
        <f>LN('Price Data'!C367/'Price Data'!C366)</f>
        <v>-6.860641874935831E-3</v>
      </c>
      <c r="D366" s="60">
        <f>LN('Price Data'!D367/'Price Data'!D366)</f>
        <v>-2.4334201544273914E-3</v>
      </c>
      <c r="E366" s="60">
        <f>LN('Price Data'!E367/'Price Data'!E366)</f>
        <v>-1.3000325258354839E-2</v>
      </c>
      <c r="F366" s="60">
        <f>LN('Price Data'!F367/'Price Data'!F366)</f>
        <v>-6.4912217692957956E-3</v>
      </c>
    </row>
    <row r="367" spans="1:6" x14ac:dyDescent="0.35">
      <c r="A367" s="2">
        <v>45103</v>
      </c>
      <c r="B367" s="60">
        <f>LN('Price Data'!B368/'Price Data'!B367)</f>
        <v>-7.6682636828645E-3</v>
      </c>
      <c r="C367" s="60">
        <f>LN('Price Data'!C368/'Price Data'!C367)</f>
        <v>-8.3369625005949664E-3</v>
      </c>
      <c r="D367" s="60">
        <f>LN('Price Data'!D368/'Price Data'!D367)</f>
        <v>4.2680850333927812E-3</v>
      </c>
      <c r="E367" s="60">
        <f>LN('Price Data'!E368/'Price Data'!E367)</f>
        <v>4.2203192970240271E-3</v>
      </c>
      <c r="F367" s="60">
        <f>LN('Price Data'!F368/'Price Data'!F367)</f>
        <v>2.1368036811052855E-3</v>
      </c>
    </row>
    <row r="368" spans="1:6" x14ac:dyDescent="0.35">
      <c r="A368" s="2">
        <v>45104</v>
      </c>
      <c r="B368" s="60">
        <f>LN('Price Data'!B369/'Price Data'!B368)</f>
        <v>3.6186954556616561E-4</v>
      </c>
      <c r="C368" s="60">
        <f>LN('Price Data'!C369/'Price Data'!C368)</f>
        <v>2.409738265649245E-3</v>
      </c>
      <c r="D368" s="60">
        <f>LN('Price Data'!D369/'Price Data'!D368)</f>
        <v>9.2834237050115048E-3</v>
      </c>
      <c r="E368" s="60">
        <f>LN('Price Data'!E369/'Price Data'!E368)</f>
        <v>6.9028086382312039E-3</v>
      </c>
      <c r="F368" s="60">
        <f>LN('Price Data'!F369/'Price Data'!F368)</f>
        <v>-1.3527787422137334E-3</v>
      </c>
    </row>
    <row r="369" spans="1:6" x14ac:dyDescent="0.35">
      <c r="A369" s="2">
        <v>45105</v>
      </c>
      <c r="B369" s="60">
        <f>LN('Price Data'!B370/'Price Data'!B369)</f>
        <v>1.3149894494686344E-2</v>
      </c>
      <c r="C369" s="60">
        <f>LN('Price Data'!C370/'Price Data'!C369)</f>
        <v>5.6460682446271377E-3</v>
      </c>
      <c r="D369" s="60">
        <f>LN('Price Data'!D370/'Price Data'!D369)</f>
        <v>1.4411147112607992E-3</v>
      </c>
      <c r="E369" s="60">
        <f>LN('Price Data'!E370/'Price Data'!E369)</f>
        <v>1.103964176602569E-2</v>
      </c>
      <c r="F369" s="60">
        <f>LN('Price Data'!F370/'Price Data'!F369)</f>
        <v>9.5018205665441027E-3</v>
      </c>
    </row>
    <row r="370" spans="1:6" x14ac:dyDescent="0.35">
      <c r="A370" s="2">
        <v>45107</v>
      </c>
      <c r="B370" s="60">
        <f>LN('Price Data'!B371/'Price Data'!B370)</f>
        <v>8.1706036893904252E-3</v>
      </c>
      <c r="C370" s="60">
        <f>LN('Price Data'!C371/'Price Data'!C370)</f>
        <v>2.6636838200598593E-2</v>
      </c>
      <c r="D370" s="60">
        <f>LN('Price Data'!D371/'Price Data'!D370)</f>
        <v>-3.0447928226339377E-3</v>
      </c>
      <c r="E370" s="60">
        <f>LN('Price Data'!E371/'Price Data'!E370)</f>
        <v>3.2074727891897581E-2</v>
      </c>
      <c r="F370" s="60">
        <f>LN('Price Data'!F371/'Price Data'!F370)</f>
        <v>4.9981918182099155E-3</v>
      </c>
    </row>
    <row r="371" spans="1:6" x14ac:dyDescent="0.35">
      <c r="A371" s="2">
        <v>45110</v>
      </c>
      <c r="B371" s="60">
        <f>LN('Price Data'!B372/'Price Data'!B371)</f>
        <v>2.5340699319769084E-2</v>
      </c>
      <c r="C371" s="60">
        <f>LN('Price Data'!C372/'Price Data'!C371)</f>
        <v>-9.1103785114690795E-3</v>
      </c>
      <c r="D371" s="60">
        <f>LN('Price Data'!D372/'Price Data'!D371)</f>
        <v>8.4703380465952858E-3</v>
      </c>
      <c r="E371" s="60">
        <f>LN('Price Data'!E372/'Price Data'!E371)</f>
        <v>-1.3487804625527202E-3</v>
      </c>
      <c r="F371" s="60">
        <f>LN('Price Data'!F372/'Price Data'!F371)</f>
        <v>2.54676024852394E-2</v>
      </c>
    </row>
    <row r="372" spans="1:6" x14ac:dyDescent="0.35">
      <c r="A372" s="2">
        <v>45111</v>
      </c>
      <c r="B372" s="60">
        <f>LN('Price Data'!B373/'Price Data'!B372)</f>
        <v>-1.0353750771131227E-2</v>
      </c>
      <c r="C372" s="60">
        <f>LN('Price Data'!C373/'Price Data'!C372)</f>
        <v>1.1107154549844001E-2</v>
      </c>
      <c r="D372" s="60">
        <f>LN('Price Data'!D373/'Price Data'!D372)</f>
        <v>2.2784484621674391E-3</v>
      </c>
      <c r="E372" s="60">
        <f>LN('Price Data'!E373/'Price Data'!E372)</f>
        <v>8.5441086776604103E-3</v>
      </c>
      <c r="F372" s="60">
        <f>LN('Price Data'!F373/'Price Data'!F372)</f>
        <v>6.6635831791943779E-3</v>
      </c>
    </row>
    <row r="373" spans="1:6" x14ac:dyDescent="0.35">
      <c r="A373" s="2">
        <v>45112</v>
      </c>
      <c r="B373" s="60">
        <f>LN('Price Data'!B374/'Price Data'!B373)</f>
        <v>-1.6437496514974503E-3</v>
      </c>
      <c r="C373" s="60">
        <f>LN('Price Data'!C374/'Price Data'!C373)</f>
        <v>3.3493862233548075E-3</v>
      </c>
      <c r="D373" s="60">
        <f>LN('Price Data'!D374/'Price Data'!D373)</f>
        <v>1.3980361195771876E-2</v>
      </c>
      <c r="E373" s="60">
        <f>LN('Price Data'!E374/'Price Data'!E373)</f>
        <v>1.5985899959132493E-3</v>
      </c>
      <c r="F373" s="60">
        <f>LN('Price Data'!F374/'Price Data'!F373)</f>
        <v>1.8594324325445728E-2</v>
      </c>
    </row>
    <row r="374" spans="1:6" x14ac:dyDescent="0.35">
      <c r="A374" s="2">
        <v>45113</v>
      </c>
      <c r="B374" s="60">
        <f>LN('Price Data'!B375/'Price Data'!B374)</f>
        <v>2.0776878868445547E-2</v>
      </c>
      <c r="C374" s="60">
        <f>LN('Price Data'!C375/'Price Data'!C374)</f>
        <v>8.8623930328093784E-4</v>
      </c>
      <c r="D374" s="60">
        <f>LN('Price Data'!D375/'Price Data'!D374)</f>
        <v>1.4603110971029918E-3</v>
      </c>
      <c r="E374" s="60">
        <f>LN('Price Data'!E375/'Price Data'!E374)</f>
        <v>-2.5260465130785073E-3</v>
      </c>
      <c r="F374" s="60">
        <f>LN('Price Data'!F375/'Price Data'!F374)</f>
        <v>-2.5173498707660785E-3</v>
      </c>
    </row>
    <row r="375" spans="1:6" x14ac:dyDescent="0.35">
      <c r="A375" s="2">
        <v>45114</v>
      </c>
      <c r="B375" s="60">
        <f>LN('Price Data'!B376/'Price Data'!B375)</f>
        <v>-1.9554759540527157E-3</v>
      </c>
      <c r="C375" s="60">
        <f>LN('Price Data'!C376/'Price Data'!C375)</f>
        <v>1.9119627298257995E-3</v>
      </c>
      <c r="D375" s="60">
        <f>LN('Price Data'!D376/'Price Data'!D375)</f>
        <v>-1.3642776403786489E-2</v>
      </c>
      <c r="E375" s="60">
        <f>LN('Price Data'!E376/'Price Data'!E375)</f>
        <v>-1.0244080077639977E-2</v>
      </c>
      <c r="F375" s="60">
        <f>LN('Price Data'!F376/'Price Data'!F375)</f>
        <v>-1.1689216928844158E-2</v>
      </c>
    </row>
    <row r="376" spans="1:6" x14ac:dyDescent="0.35">
      <c r="A376" s="2">
        <v>45117</v>
      </c>
      <c r="B376" s="60">
        <f>LN('Price Data'!B377/'Price Data'!B376)</f>
        <v>3.7797021882737869E-2</v>
      </c>
      <c r="C376" s="60">
        <f>LN('Price Data'!C377/'Price Data'!C376)</f>
        <v>-1.7362202505184082E-2</v>
      </c>
      <c r="D376" s="60">
        <f>LN('Price Data'!D377/'Price Data'!D376)</f>
        <v>2.1110415270734202E-3</v>
      </c>
      <c r="E376" s="60">
        <f>LN('Price Data'!E377/'Price Data'!E376)</f>
        <v>-7.941160204800431E-4</v>
      </c>
      <c r="F376" s="60">
        <f>LN('Price Data'!F377/'Price Data'!F376)</f>
        <v>-5.453674371856735E-3</v>
      </c>
    </row>
    <row r="377" spans="1:6" x14ac:dyDescent="0.35">
      <c r="A377" s="2">
        <v>45118</v>
      </c>
      <c r="B377" s="60">
        <f>LN('Price Data'!B378/'Price Data'!B377)</f>
        <v>1.0783200820551434E-2</v>
      </c>
      <c r="C377" s="60">
        <f>LN('Price Data'!C378/'Price Data'!C377)</f>
        <v>1.3816034912071058E-4</v>
      </c>
      <c r="D377" s="60">
        <f>LN('Price Data'!D378/'Price Data'!D377)</f>
        <v>-3.6443381502038763E-3</v>
      </c>
      <c r="E377" s="60">
        <f>LN('Price Data'!E378/'Price Data'!E377)</f>
        <v>1.4526645559261234E-2</v>
      </c>
      <c r="F377" s="60">
        <f>LN('Price Data'!F378/'Price Data'!F377)</f>
        <v>1.5557945716492961E-2</v>
      </c>
    </row>
    <row r="378" spans="1:6" x14ac:dyDescent="0.35">
      <c r="A378" s="2">
        <v>45119</v>
      </c>
      <c r="B378" s="60">
        <f>LN('Price Data'!B379/'Price Data'!B378)</f>
        <v>1.0990149791749919E-3</v>
      </c>
      <c r="C378" s="60">
        <f>LN('Price Data'!C379/'Price Data'!C378)</f>
        <v>-3.8294954499713757E-3</v>
      </c>
      <c r="D378" s="60">
        <f>LN('Price Data'!D379/'Price Data'!D378)</f>
        <v>-5.8221082968872668E-4</v>
      </c>
      <c r="E378" s="60">
        <f>LN('Price Data'!E379/'Price Data'!E378)</f>
        <v>-1.140675392439966E-2</v>
      </c>
      <c r="F378" s="60">
        <f>LN('Price Data'!F379/'Price Data'!F378)</f>
        <v>-1.811250369388449E-3</v>
      </c>
    </row>
    <row r="379" spans="1:6" x14ac:dyDescent="0.35">
      <c r="A379" s="2">
        <v>45120</v>
      </c>
      <c r="B379" s="60">
        <f>LN('Price Data'!B380/'Price Data'!B379)</f>
        <v>-8.9787090447505432E-3</v>
      </c>
      <c r="C379" s="60">
        <f>LN('Price Data'!C380/'Price Data'!C379)</f>
        <v>2.4439572556599707E-2</v>
      </c>
      <c r="D379" s="60">
        <f>LN('Price Data'!D380/'Price Data'!D379)</f>
        <v>1.1894251060776214E-2</v>
      </c>
      <c r="E379" s="60">
        <f>LN('Price Data'!E380/'Price Data'!E379)</f>
        <v>2.3569261318614847E-2</v>
      </c>
      <c r="F379" s="60">
        <f>LN('Price Data'!F380/'Price Data'!F379)</f>
        <v>-6.2687504851427641E-4</v>
      </c>
    </row>
    <row r="380" spans="1:6" x14ac:dyDescent="0.35">
      <c r="A380" s="2">
        <v>45121</v>
      </c>
      <c r="B380" s="60">
        <f>LN('Price Data'!B381/'Price Data'!B380)</f>
        <v>-8.4364120526324413E-4</v>
      </c>
      <c r="C380" s="60">
        <f>LN('Price Data'!C381/'Price Data'!C380)</f>
        <v>5.0805376364942596E-2</v>
      </c>
      <c r="D380" s="60">
        <f>LN('Price Data'!D381/'Price Data'!D380)</f>
        <v>4.5413101667914936E-3</v>
      </c>
      <c r="E380" s="60">
        <f>LN('Price Data'!E381/'Price Data'!E380)</f>
        <v>4.3611279232250229E-2</v>
      </c>
      <c r="F380" s="60">
        <f>LN('Price Data'!F381/'Price Data'!F380)</f>
        <v>1.9018005709724038E-3</v>
      </c>
    </row>
    <row r="381" spans="1:6" x14ac:dyDescent="0.35">
      <c r="A381" s="2">
        <v>45124</v>
      </c>
      <c r="B381" s="60">
        <f>LN('Price Data'!B382/'Price Data'!B381)</f>
        <v>2.0226821231650982E-2</v>
      </c>
      <c r="C381" s="60">
        <f>LN('Price Data'!C382/'Price Data'!C381)</f>
        <v>-6.5500288666024108E-3</v>
      </c>
      <c r="D381" s="60">
        <f>LN('Price Data'!D382/'Price Data'!D381)</f>
        <v>8.9695999934138789E-3</v>
      </c>
      <c r="E381" s="60">
        <f>LN('Price Data'!E382/'Price Data'!E381)</f>
        <v>-2.1038222476580503E-3</v>
      </c>
      <c r="F381" s="60">
        <f>LN('Price Data'!F382/'Price Data'!F381)</f>
        <v>-1.1630248901026801E-3</v>
      </c>
    </row>
    <row r="382" spans="1:6" x14ac:dyDescent="0.35">
      <c r="A382" s="2">
        <v>45125</v>
      </c>
      <c r="B382" s="60">
        <f>LN('Price Data'!B383/'Price Data'!B382)</f>
        <v>8.4634926075224659E-3</v>
      </c>
      <c r="C382" s="60">
        <f>LN('Price Data'!C383/'Price Data'!C382)</f>
        <v>1.4720429550533142E-3</v>
      </c>
      <c r="D382" s="60">
        <f>LN('Price Data'!D383/'Price Data'!D382)</f>
        <v>6.9439365509312212E-3</v>
      </c>
      <c r="E382" s="60">
        <f>LN('Price Data'!E383/'Price Data'!E382)</f>
        <v>3.6056384874602367E-2</v>
      </c>
      <c r="F382" s="60">
        <f>LN('Price Data'!F383/'Price Data'!F382)</f>
        <v>3.1325517127177229E-4</v>
      </c>
    </row>
    <row r="383" spans="1:6" x14ac:dyDescent="0.35">
      <c r="A383" s="2">
        <v>45126</v>
      </c>
      <c r="B383" s="60">
        <f>LN('Price Data'!B384/'Price Data'!B383)</f>
        <v>7.5556036034623315E-3</v>
      </c>
      <c r="C383" s="60">
        <f>LN('Price Data'!C384/'Price Data'!C383)</f>
        <v>-7.6917133483661113E-3</v>
      </c>
      <c r="D383" s="60">
        <f>LN('Price Data'!D384/'Price Data'!D383)</f>
        <v>-2.052440558351183E-3</v>
      </c>
      <c r="E383" s="60">
        <f>LN('Price Data'!E384/'Price Data'!E383)</f>
        <v>-1.7043847042054835E-4</v>
      </c>
      <c r="F383" s="60">
        <f>LN('Price Data'!F384/'Price Data'!F383)</f>
        <v>1.3355902484361155E-2</v>
      </c>
    </row>
    <row r="384" spans="1:6" x14ac:dyDescent="0.35">
      <c r="A384" s="2">
        <v>45127</v>
      </c>
      <c r="B384" s="60">
        <f>LN('Price Data'!B385/'Price Data'!B384)</f>
        <v>1.5331482297268969E-2</v>
      </c>
      <c r="C384" s="60">
        <f>LN('Price Data'!C385/'Price Data'!C384)</f>
        <v>-1.9474372151096883E-3</v>
      </c>
      <c r="D384" s="60">
        <f>LN('Price Data'!D385/'Price Data'!D384)</f>
        <v>2.2499108068517588E-2</v>
      </c>
      <c r="E384" s="60">
        <f>LN('Price Data'!E385/'Price Data'!E384)</f>
        <v>-1.7400355110852927E-2</v>
      </c>
      <c r="F384" s="60">
        <f>LN('Price Data'!F385/'Price Data'!F384)</f>
        <v>2.7391814685127174E-2</v>
      </c>
    </row>
    <row r="385" spans="1:6" x14ac:dyDescent="0.35">
      <c r="A385" s="2">
        <v>45128</v>
      </c>
      <c r="B385" s="60">
        <f>LN('Price Data'!B386/'Price Data'!B385)</f>
        <v>-3.1445108379763373E-2</v>
      </c>
      <c r="C385" s="60">
        <f>LN('Price Data'!C386/'Price Data'!C385)</f>
        <v>-2.7816131143824547E-2</v>
      </c>
      <c r="D385" s="60">
        <f>LN('Price Data'!D386/'Price Data'!D385)</f>
        <v>1.405199468401455E-3</v>
      </c>
      <c r="E385" s="60">
        <f>LN('Price Data'!E386/'Price Data'!E385)</f>
        <v>-8.4837795907035232E-2</v>
      </c>
      <c r="F385" s="60">
        <f>LN('Price Data'!F386/'Price Data'!F385)</f>
        <v>-3.4640452045553321E-3</v>
      </c>
    </row>
    <row r="386" spans="1:6" x14ac:dyDescent="0.35">
      <c r="A386" s="2">
        <v>45131</v>
      </c>
      <c r="B386" s="60">
        <f>LN('Price Data'!B387/'Price Data'!B386)</f>
        <v>-2.0437784613528093E-2</v>
      </c>
      <c r="C386" s="60">
        <f>LN('Price Data'!C387/'Price Data'!C386)</f>
        <v>7.8225552459198246E-3</v>
      </c>
      <c r="D386" s="60">
        <f>LN('Price Data'!D387/'Price Data'!D386)</f>
        <v>-5.0276626769655006E-3</v>
      </c>
      <c r="E386" s="60">
        <f>LN('Price Data'!E387/'Price Data'!E386)</f>
        <v>3.7463531992046992E-3</v>
      </c>
      <c r="F386" s="60">
        <f>LN('Price Data'!F387/'Price Data'!F386)</f>
        <v>-3.9725183330174843E-2</v>
      </c>
    </row>
    <row r="387" spans="1:6" x14ac:dyDescent="0.35">
      <c r="A387" s="2">
        <v>45132</v>
      </c>
      <c r="B387" s="60">
        <f>LN('Price Data'!B388/'Price Data'!B387)</f>
        <v>-6.434489082294487E-4</v>
      </c>
      <c r="C387" s="60">
        <f>LN('Price Data'!C388/'Price Data'!C387)</f>
        <v>1.2953676159506112E-3</v>
      </c>
      <c r="D387" s="60">
        <f>LN('Price Data'!D388/'Price Data'!D387)</f>
        <v>2.7180768734954325E-3</v>
      </c>
      <c r="E387" s="60">
        <f>LN('Price Data'!E388/'Price Data'!E387)</f>
        <v>-1.4983645033086789E-3</v>
      </c>
      <c r="F387" s="60">
        <f>LN('Price Data'!F388/'Price Data'!F387)</f>
        <v>-1.9383787011254337E-2</v>
      </c>
    </row>
    <row r="388" spans="1:6" x14ac:dyDescent="0.35">
      <c r="A388" s="2">
        <v>45133</v>
      </c>
      <c r="B388" s="60">
        <f>LN('Price Data'!B389/'Price Data'!B388)</f>
        <v>1.6121658028463527E-2</v>
      </c>
      <c r="C388" s="60">
        <f>LN('Price Data'!C389/'Price Data'!C388)</f>
        <v>-3.1970945537749575E-3</v>
      </c>
      <c r="D388" s="60">
        <f>LN('Price Data'!D389/'Price Data'!D388)</f>
        <v>1.7577786209916155E-3</v>
      </c>
      <c r="E388" s="60">
        <f>LN('Price Data'!E389/'Price Data'!E388)</f>
        <v>1.0620656642568792E-2</v>
      </c>
      <c r="F388" s="60">
        <f>LN('Price Data'!F389/'Price Data'!F388)</f>
        <v>2.1310613050449196E-2</v>
      </c>
    </row>
    <row r="389" spans="1:6" x14ac:dyDescent="0.35">
      <c r="A389" s="2">
        <v>45134</v>
      </c>
      <c r="B389" s="60">
        <f>LN('Price Data'!B390/'Price Data'!B389)</f>
        <v>-9.3460482640186238E-3</v>
      </c>
      <c r="C389" s="60">
        <f>LN('Price Data'!C390/'Price Data'!C389)</f>
        <v>2.5348330841250596E-3</v>
      </c>
      <c r="D389" s="60">
        <f>LN('Price Data'!D390/'Price Data'!D389)</f>
        <v>-6.2415262773338927E-3</v>
      </c>
      <c r="E389" s="60">
        <f>LN('Price Data'!E390/'Price Data'!E389)</f>
        <v>3.1858776565213947E-3</v>
      </c>
      <c r="F389" s="60">
        <f>LN('Price Data'!F390/'Price Data'!F389)</f>
        <v>-1.5383183695048583E-2</v>
      </c>
    </row>
    <row r="390" spans="1:6" x14ac:dyDescent="0.35">
      <c r="A390" s="2">
        <v>45135</v>
      </c>
      <c r="B390" s="60">
        <f>LN('Price Data'!B391/'Price Data'!B390)</f>
        <v>1.000294591054153E-2</v>
      </c>
      <c r="C390" s="60">
        <f>LN('Price Data'!C391/'Price Data'!C390)</f>
        <v>-1.2289699937734603E-2</v>
      </c>
      <c r="D390" s="60">
        <f>LN('Price Data'!D391/'Price Data'!D390)</f>
        <v>5.9906041371569733E-3</v>
      </c>
      <c r="E390" s="60">
        <f>LN('Price Data'!E391/'Price Data'!E390)</f>
        <v>-9.3931758080090556E-3</v>
      </c>
      <c r="F390" s="60">
        <f>LN('Price Data'!F391/'Price Data'!F390)</f>
        <v>7.2925246748950017E-3</v>
      </c>
    </row>
    <row r="391" spans="1:6" x14ac:dyDescent="0.35">
      <c r="A391" s="2">
        <v>45138</v>
      </c>
      <c r="B391" s="60">
        <f>LN('Price Data'!B392/'Price Data'!B391)</f>
        <v>8.4300259726128243E-3</v>
      </c>
      <c r="C391" s="60">
        <f>LN('Price Data'!C392/'Price Data'!C391)</f>
        <v>1.9491841016433708E-2</v>
      </c>
      <c r="D391" s="60">
        <f>LN('Price Data'!D392/'Price Data'!D391)</f>
        <v>2.1057917031964387E-3</v>
      </c>
      <c r="E391" s="60">
        <f>LN('Price Data'!E392/'Price Data'!E391)</f>
        <v>1.1271654421917609E-2</v>
      </c>
      <c r="F391" s="60">
        <f>LN('Price Data'!F392/'Price Data'!F391)</f>
        <v>-5.8842336982460877E-3</v>
      </c>
    </row>
    <row r="392" spans="1:6" x14ac:dyDescent="0.35">
      <c r="A392" s="2">
        <v>45139</v>
      </c>
      <c r="B392" s="60">
        <f>LN('Price Data'!B393/'Price Data'!B392)</f>
        <v>-1.4246279430218783E-2</v>
      </c>
      <c r="C392" s="60">
        <f>LN('Price Data'!C393/'Price Data'!C392)</f>
        <v>8.9041483962100845E-3</v>
      </c>
      <c r="D392" s="60">
        <f>LN('Price Data'!D393/'Price Data'!D392)</f>
        <v>-3.7634587913098309E-3</v>
      </c>
      <c r="E392" s="60">
        <f>LN('Price Data'!E393/'Price Data'!E392)</f>
        <v>6.9854108452986298E-3</v>
      </c>
      <c r="F392" s="60">
        <f>LN('Price Data'!F393/'Price Data'!F392)</f>
        <v>-1.931226246907112E-3</v>
      </c>
    </row>
    <row r="393" spans="1:6" x14ac:dyDescent="0.35">
      <c r="A393" s="2">
        <v>45140</v>
      </c>
      <c r="B393" s="60">
        <f>LN('Price Data'!B394/'Price Data'!B393)</f>
        <v>-1.0737048000956569E-2</v>
      </c>
      <c r="C393" s="60">
        <f>LN('Price Data'!C394/'Price Data'!C393)</f>
        <v>-3.3086020233149796E-3</v>
      </c>
      <c r="D393" s="60">
        <f>LN('Price Data'!D394/'Price Data'!D393)</f>
        <v>-7.6709939620731651E-3</v>
      </c>
      <c r="E393" s="60">
        <f>LN('Price Data'!E394/'Price Data'!E393)</f>
        <v>-6.1327220435646321E-3</v>
      </c>
      <c r="F393" s="60">
        <f>LN('Price Data'!F394/'Price Data'!F393)</f>
        <v>-1.0171865021397847E-2</v>
      </c>
    </row>
    <row r="394" spans="1:6" x14ac:dyDescent="0.35">
      <c r="A394" s="2">
        <v>45141</v>
      </c>
      <c r="B394" s="60">
        <f>LN('Price Data'!B395/'Price Data'!B394)</f>
        <v>-4.215827261087054E-3</v>
      </c>
      <c r="C394" s="60">
        <f>LN('Price Data'!C395/'Price Data'!C394)</f>
        <v>-1.189901027929445E-2</v>
      </c>
      <c r="D394" s="60">
        <f>LN('Price Data'!D395/'Price Data'!D394)</f>
        <v>-2.2491278250010557E-2</v>
      </c>
      <c r="E394" s="60">
        <f>LN('Price Data'!E395/'Price Data'!E394)</f>
        <v>5.4695431820323921E-3</v>
      </c>
      <c r="F394" s="60">
        <f>LN('Price Data'!F395/'Price Data'!F394)</f>
        <v>-8.8382811195230841E-3</v>
      </c>
    </row>
    <row r="395" spans="1:6" x14ac:dyDescent="0.35">
      <c r="A395" s="2">
        <v>45142</v>
      </c>
      <c r="B395" s="60">
        <f>LN('Price Data'!B396/'Price Data'!B395)</f>
        <v>1.3503472687669117E-2</v>
      </c>
      <c r="C395" s="60">
        <f>LN('Price Data'!C396/'Price Data'!C395)</f>
        <v>1.2742504262132349E-2</v>
      </c>
      <c r="D395" s="60">
        <f>LN('Price Data'!D396/'Price Data'!D395)</f>
        <v>5.6833012700789522E-3</v>
      </c>
      <c r="E395" s="60">
        <f>LN('Price Data'!E396/'Price Data'!E395)</f>
        <v>1.0252062455530554E-2</v>
      </c>
      <c r="F395" s="60">
        <f>LN('Price Data'!F396/'Price Data'!F395)</f>
        <v>-2.41349818948509E-3</v>
      </c>
    </row>
    <row r="396" spans="1:6" x14ac:dyDescent="0.35">
      <c r="A396" s="2">
        <v>45145</v>
      </c>
      <c r="B396" s="60">
        <f>LN('Price Data'!B397/'Price Data'!B396)</f>
        <v>5.6820366564213501E-3</v>
      </c>
      <c r="C396" s="60">
        <f>LN('Price Data'!C397/'Price Data'!C396)</f>
        <v>1.1691561831659097E-2</v>
      </c>
      <c r="D396" s="60">
        <f>LN('Price Data'!D397/'Price Data'!D396)</f>
        <v>5.2925129319428259E-3</v>
      </c>
      <c r="E396" s="60">
        <f>LN('Price Data'!E397/'Price Data'!E396)</f>
        <v>1.0566826191766883E-2</v>
      </c>
      <c r="F396" s="60">
        <f>LN('Price Data'!F397/'Price Data'!F396)</f>
        <v>-1.16180451607918E-4</v>
      </c>
    </row>
    <row r="397" spans="1:6" x14ac:dyDescent="0.35">
      <c r="A397" s="2">
        <v>45146</v>
      </c>
      <c r="B397" s="60">
        <f>LN('Price Data'!B398/'Price Data'!B397)</f>
        <v>-6.0487019986983333E-3</v>
      </c>
      <c r="C397" s="60">
        <f>LN('Price Data'!C398/'Price Data'!C397)</f>
        <v>-3.8685103072577517E-3</v>
      </c>
      <c r="D397" s="60">
        <f>LN('Price Data'!D398/'Price Data'!D397)</f>
        <v>4.3466101007651886E-3</v>
      </c>
      <c r="E397" s="60">
        <f>LN('Price Data'!E398/'Price Data'!E397)</f>
        <v>-2.0089615081582881E-3</v>
      </c>
      <c r="F397" s="60">
        <f>LN('Price Data'!F398/'Price Data'!F397)</f>
        <v>-5.6159631213663465E-3</v>
      </c>
    </row>
    <row r="398" spans="1:6" x14ac:dyDescent="0.35">
      <c r="A398" s="2">
        <v>45147</v>
      </c>
      <c r="B398" s="60">
        <f>LN('Price Data'!B399/'Price Data'!B398)</f>
        <v>6.5794938813302783E-3</v>
      </c>
      <c r="C398" s="60">
        <f>LN('Price Data'!C399/'Price Data'!C398)</f>
        <v>-2.3358537932265536E-3</v>
      </c>
      <c r="D398" s="60">
        <f>LN('Price Data'!D399/'Price Data'!D398)</f>
        <v>-7.3748157663780772E-3</v>
      </c>
      <c r="E398" s="60">
        <f>LN('Price Data'!E399/'Price Data'!E398)</f>
        <v>3.0191427772736732E-3</v>
      </c>
      <c r="F398" s="60">
        <f>LN('Price Data'!F399/'Price Data'!F398)</f>
        <v>1.3831414949811495E-2</v>
      </c>
    </row>
    <row r="399" spans="1:6" x14ac:dyDescent="0.35">
      <c r="A399" s="2">
        <v>45148</v>
      </c>
      <c r="B399" s="60">
        <f>LN('Price Data'!B400/'Price Data'!B399)</f>
        <v>4.4412555912752777E-3</v>
      </c>
      <c r="C399" s="60">
        <f>LN('Price Data'!C400/'Price Data'!C399)</f>
        <v>-5.9073964563350475E-3</v>
      </c>
      <c r="D399" s="60">
        <f>LN('Price Data'!D400/'Price Data'!D399)</f>
        <v>-8.8806862050599504E-3</v>
      </c>
      <c r="E399" s="60">
        <f>LN('Price Data'!E400/'Price Data'!E399)</f>
        <v>-3.8151713605496622E-3</v>
      </c>
      <c r="F399" s="60">
        <f>LN('Price Data'!F400/'Price Data'!F399)</f>
        <v>-1.5164296392099447E-2</v>
      </c>
    </row>
    <row r="400" spans="1:6" x14ac:dyDescent="0.35">
      <c r="A400" s="2">
        <v>45149</v>
      </c>
      <c r="B400" s="60">
        <f>LN('Price Data'!B401/'Price Data'!B400)</f>
        <v>4.2096380115062958E-3</v>
      </c>
      <c r="C400" s="60">
        <f>LN('Price Data'!C401/'Price Data'!C400)</f>
        <v>1.9419406842216414E-3</v>
      </c>
      <c r="D400" s="60">
        <f>LN('Price Data'!D401/'Price Data'!D400)</f>
        <v>-1.1737530095949645E-2</v>
      </c>
      <c r="E400" s="60">
        <f>LN('Price Data'!E401/'Price Data'!E400)</f>
        <v>-1.2493469659802175E-2</v>
      </c>
      <c r="F400" s="60">
        <f>LN('Price Data'!F401/'Price Data'!F400)</f>
        <v>-6.6676304680290972E-3</v>
      </c>
    </row>
    <row r="401" spans="1:6" x14ac:dyDescent="0.35">
      <c r="A401" s="2">
        <v>45152</v>
      </c>
      <c r="B401" s="60">
        <f>LN('Price Data'!B402/'Price Data'!B401)</f>
        <v>1.1755657977477445E-2</v>
      </c>
      <c r="C401" s="60">
        <f>LN('Price Data'!C402/'Price Data'!C401)</f>
        <v>3.058179707910605E-4</v>
      </c>
      <c r="D401" s="60">
        <f>LN('Price Data'!D402/'Price Data'!D401)</f>
        <v>7.0069309898712377E-3</v>
      </c>
      <c r="E401" s="60">
        <f>LN('Price Data'!E402/'Price Data'!E401)</f>
        <v>1.5695438388172868E-2</v>
      </c>
      <c r="F401" s="60">
        <f>LN('Price Data'!F402/'Price Data'!F401)</f>
        <v>1.0123960510136345E-3</v>
      </c>
    </row>
    <row r="402" spans="1:6" x14ac:dyDescent="0.35">
      <c r="A402" s="2">
        <v>45154</v>
      </c>
      <c r="B402" s="60">
        <f>LN('Price Data'!B403/'Price Data'!B402)</f>
        <v>-8.2291752179097831E-4</v>
      </c>
      <c r="C402" s="60">
        <f>LN('Price Data'!C403/'Price Data'!C402)</f>
        <v>2.475137199772041E-3</v>
      </c>
      <c r="D402" s="60">
        <f>LN('Price Data'!D403/'Price Data'!D402)</f>
        <v>-3.1836356839486653E-3</v>
      </c>
      <c r="E402" s="60">
        <f>LN('Price Data'!E403/'Price Data'!E402)</f>
        <v>1.7745406271297351E-2</v>
      </c>
      <c r="F402" s="60">
        <f>LN('Price Data'!F403/'Price Data'!F402)</f>
        <v>2.3269763347143159E-3</v>
      </c>
    </row>
    <row r="403" spans="1:6" x14ac:dyDescent="0.35">
      <c r="A403" s="2">
        <v>45155</v>
      </c>
      <c r="B403" s="60">
        <f>LN('Price Data'!B404/'Price Data'!B403)</f>
        <v>-1.452753227760553E-2</v>
      </c>
      <c r="C403" s="60">
        <f>LN('Price Data'!C404/'Price Data'!C403)</f>
        <v>-6.5721163060023166E-3</v>
      </c>
      <c r="D403" s="60">
        <f>LN('Price Data'!D404/'Price Data'!D403)</f>
        <v>-5.083468746514587E-3</v>
      </c>
      <c r="E403" s="60">
        <f>LN('Price Data'!E404/'Price Data'!E403)</f>
        <v>-4.9108367856996408E-3</v>
      </c>
      <c r="F403" s="60">
        <f>LN('Price Data'!F404/'Price Data'!F403)</f>
        <v>-2.0756737759272191E-2</v>
      </c>
    </row>
    <row r="404" spans="1:6" x14ac:dyDescent="0.35">
      <c r="A404" s="2">
        <v>45156</v>
      </c>
      <c r="B404" s="60">
        <f>LN('Price Data'!B405/'Price Data'!B404)</f>
        <v>7.3801072976226803E-3</v>
      </c>
      <c r="C404" s="60">
        <f>LN('Price Data'!C405/'Price Data'!C404)</f>
        <v>-2.0182418112807805E-2</v>
      </c>
      <c r="D404" s="60">
        <f>LN('Price Data'!D405/'Price Data'!D404)</f>
        <v>-1.0513589781979567E-3</v>
      </c>
      <c r="E404" s="60">
        <f>LN('Price Data'!E405/'Price Data'!E404)</f>
        <v>-1.6246505886958369E-2</v>
      </c>
      <c r="F404" s="60">
        <f>LN('Price Data'!F405/'Price Data'!F404)</f>
        <v>1.4850302130328778E-3</v>
      </c>
    </row>
    <row r="405" spans="1:6" x14ac:dyDescent="0.35">
      <c r="A405" s="2">
        <v>45159</v>
      </c>
      <c r="B405" s="60">
        <f>LN('Price Data'!B406/'Price Data'!B405)</f>
        <v>-1.4497575066486643E-2</v>
      </c>
      <c r="C405" s="60">
        <f>LN('Price Data'!C406/'Price Data'!C405)</f>
        <v>1.020857752394717E-2</v>
      </c>
      <c r="D405" s="60">
        <f>LN('Price Data'!D406/'Price Data'!D405)</f>
        <v>4.7747814827425236E-3</v>
      </c>
      <c r="E405" s="60">
        <f>LN('Price Data'!E406/'Price Data'!E405)</f>
        <v>1.1876880633316631E-2</v>
      </c>
      <c r="F405" s="60">
        <f>LN('Price Data'!F406/'Price Data'!F405)</f>
        <v>1.3833649016160023E-2</v>
      </c>
    </row>
    <row r="406" spans="1:6" x14ac:dyDescent="0.35">
      <c r="A406" s="2">
        <v>45160</v>
      </c>
      <c r="B406" s="60">
        <f>LN('Price Data'!B407/'Price Data'!B406)</f>
        <v>-2.3812358726630795E-4</v>
      </c>
      <c r="C406" s="60">
        <f>LN('Price Data'!C407/'Price Data'!C406)</f>
        <v>-5.7489891787685385E-3</v>
      </c>
      <c r="D406" s="60">
        <f>LN('Price Data'!D407/'Price Data'!D406)</f>
        <v>-3.3557078469724157E-3</v>
      </c>
      <c r="E406" s="60">
        <f>LN('Price Data'!E407/'Price Data'!E406)</f>
        <v>-1.174196454805852E-3</v>
      </c>
      <c r="F406" s="60">
        <f>LN('Price Data'!F407/'Price Data'!F406)</f>
        <v>1.4296671745448117E-2</v>
      </c>
    </row>
    <row r="407" spans="1:6" x14ac:dyDescent="0.35">
      <c r="A407" s="2">
        <v>45161</v>
      </c>
      <c r="B407" s="60">
        <f>LN('Price Data'!B408/'Price Data'!B407)</f>
        <v>1.1107586035715034E-3</v>
      </c>
      <c r="C407" s="60">
        <f>LN('Price Data'!C408/'Price Data'!C407)</f>
        <v>4.7502508154121225E-3</v>
      </c>
      <c r="D407" s="60">
        <f>LN('Price Data'!D408/'Price Data'!D407)</f>
        <v>1.547832970523561E-2</v>
      </c>
      <c r="E407" s="60">
        <f>LN('Price Data'!E408/'Price Data'!E407)</f>
        <v>2.9900520856976235E-3</v>
      </c>
      <c r="F407" s="60">
        <f>LN('Price Data'!F408/'Price Data'!F407)</f>
        <v>-8.4126404592592616E-3</v>
      </c>
    </row>
    <row r="408" spans="1:6" x14ac:dyDescent="0.35">
      <c r="A408" s="2">
        <v>45162</v>
      </c>
      <c r="B408" s="60">
        <f>LN('Price Data'!B409/'Price Data'!B408)</f>
        <v>-1.6953624776032249E-2</v>
      </c>
      <c r="C408" s="60">
        <f>LN('Price Data'!C409/'Price Data'!C408)</f>
        <v>-3.0941397445919398E-3</v>
      </c>
      <c r="D408" s="60">
        <f>LN('Price Data'!D409/'Price Data'!D408)</f>
        <v>2.1696464756576369E-3</v>
      </c>
      <c r="E408" s="60">
        <f>LN('Price Data'!E409/'Price Data'!E408)</f>
        <v>1.1052504828465219E-2</v>
      </c>
      <c r="F408" s="60">
        <f>LN('Price Data'!F409/'Price Data'!F408)</f>
        <v>1.0085729548847497E-3</v>
      </c>
    </row>
    <row r="409" spans="1:6" x14ac:dyDescent="0.35">
      <c r="A409" s="2">
        <v>45163</v>
      </c>
      <c r="B409" s="60">
        <f>LN('Price Data'!B410/'Price Data'!B409)</f>
        <v>-4.6239492591686341E-3</v>
      </c>
      <c r="C409" s="60">
        <f>LN('Price Data'!C410/'Price Data'!C409)</f>
        <v>-1.9056558015225081E-3</v>
      </c>
      <c r="D409" s="60">
        <f>LN('Price Data'!D410/'Price Data'!D409)</f>
        <v>1.4953466575818701E-3</v>
      </c>
      <c r="E409" s="60">
        <f>LN('Price Data'!E410/'Price Data'!E409)</f>
        <v>-2.4613133765510804E-3</v>
      </c>
      <c r="F409" s="60">
        <f>LN('Price Data'!F410/'Price Data'!F409)</f>
        <v>-1.6880232487370653E-2</v>
      </c>
    </row>
    <row r="410" spans="1:6" x14ac:dyDescent="0.35">
      <c r="A410" s="2">
        <v>45166</v>
      </c>
      <c r="B410" s="60">
        <f>LN('Price Data'!B411/'Price Data'!B410)</f>
        <v>-1.0016125689658392E-2</v>
      </c>
      <c r="C410" s="60">
        <f>LN('Price Data'!C411/'Price Data'!C410)</f>
        <v>-1.7039148061650286E-3</v>
      </c>
      <c r="D410" s="60">
        <f>LN('Price Data'!D411/'Price Data'!D410)</f>
        <v>1.5456348725992818E-4</v>
      </c>
      <c r="E410" s="60">
        <f>LN('Price Data'!E411/'Price Data'!E410)</f>
        <v>-3.134909974150835E-3</v>
      </c>
      <c r="F410" s="60">
        <f>LN('Price Data'!F411/'Price Data'!F410)</f>
        <v>-4.4206095955544233E-3</v>
      </c>
    </row>
    <row r="411" spans="1:6" x14ac:dyDescent="0.35">
      <c r="A411" s="2">
        <v>45167</v>
      </c>
      <c r="B411" s="60">
        <f>LN('Price Data'!B412/'Price Data'!B411)</f>
        <v>-9.6215473793248799E-3</v>
      </c>
      <c r="C411" s="60">
        <f>LN('Price Data'!C412/'Price Data'!C411)</f>
        <v>1.7855654933338151E-4</v>
      </c>
      <c r="D411" s="60">
        <f>LN('Price Data'!D412/'Price Data'!D411)</f>
        <v>-2.8891316593427658E-3</v>
      </c>
      <c r="E411" s="60">
        <f>LN('Price Data'!E412/'Price Data'!E411)</f>
        <v>1.4055414712503731E-3</v>
      </c>
      <c r="F411" s="60">
        <f>LN('Price Data'!F412/'Price Data'!F411)</f>
        <v>-2.9499607679064088E-3</v>
      </c>
    </row>
    <row r="412" spans="1:6" x14ac:dyDescent="0.35">
      <c r="A412" s="2">
        <v>45168</v>
      </c>
      <c r="B412" s="60">
        <f>LN('Price Data'!B413/'Price Data'!B412)</f>
        <v>-9.5072365492985785E-4</v>
      </c>
      <c r="C412" s="60">
        <f>LN('Price Data'!C413/'Price Data'!C412)</f>
        <v>4.3735938324434573E-3</v>
      </c>
      <c r="D412" s="60">
        <f>LN('Price Data'!D413/'Price Data'!D412)</f>
        <v>-9.1869952981220634E-3</v>
      </c>
      <c r="E412" s="60">
        <f>LN('Price Data'!E413/'Price Data'!E412)</f>
        <v>1.2274504522349263E-2</v>
      </c>
      <c r="F412" s="60">
        <f>LN('Price Data'!F413/'Price Data'!F412)</f>
        <v>6.106121482700586E-3</v>
      </c>
    </row>
    <row r="413" spans="1:6" x14ac:dyDescent="0.35">
      <c r="A413" s="2">
        <v>45169</v>
      </c>
      <c r="B413" s="60">
        <f>LN('Price Data'!B414/'Price Data'!B413)</f>
        <v>-4.5844069795880583E-3</v>
      </c>
      <c r="C413" s="60">
        <f>LN('Price Data'!C414/'Price Data'!C413)</f>
        <v>-1.0121233463511013E-2</v>
      </c>
      <c r="D413" s="60">
        <f>LN('Price Data'!D414/'Price Data'!D413)</f>
        <v>-1.5644147816950963E-4</v>
      </c>
      <c r="E413" s="60">
        <f>LN('Price Data'!E414/'Price Data'!E413)</f>
        <v>2.101929579086813E-4</v>
      </c>
      <c r="F413" s="60">
        <f>LN('Price Data'!F414/'Price Data'!F413)</f>
        <v>-7.0192538301810737E-3</v>
      </c>
    </row>
    <row r="414" spans="1:6" x14ac:dyDescent="0.35">
      <c r="A414" s="2">
        <v>45170</v>
      </c>
      <c r="B414" s="60">
        <f>LN('Price Data'!B415/'Price Data'!B414)</f>
        <v>2.3404248344134336E-3</v>
      </c>
      <c r="C414" s="60">
        <f>LN('Price Data'!C415/'Price Data'!C414)</f>
        <v>6.648863482589076E-3</v>
      </c>
      <c r="D414" s="60">
        <f>LN('Price Data'!D415/'Price Data'!D414)</f>
        <v>1.0324613750873372E-2</v>
      </c>
      <c r="E414" s="60">
        <f>LN('Price Data'!E415/'Price Data'!E414)</f>
        <v>5.8327124638833591E-3</v>
      </c>
      <c r="F414" s="60">
        <f>LN('Price Data'!F415/'Price Data'!F414)</f>
        <v>3.0724940157383449E-3</v>
      </c>
    </row>
    <row r="415" spans="1:6" x14ac:dyDescent="0.35">
      <c r="A415" s="2">
        <v>45173</v>
      </c>
      <c r="B415" s="60">
        <f>LN('Price Data'!B416/'Price Data'!B415)</f>
        <v>-8.0442187555248494E-4</v>
      </c>
      <c r="C415" s="60">
        <f>LN('Price Data'!C416/'Price Data'!C415)</f>
        <v>1.1563248636471898E-2</v>
      </c>
      <c r="D415" s="60">
        <f>LN('Price Data'!D416/'Price Data'!D415)</f>
        <v>-1.3945923078431733E-3</v>
      </c>
      <c r="E415" s="60">
        <f>LN('Price Data'!E416/'Price Data'!E415)</f>
        <v>1.4609701026293101E-2</v>
      </c>
      <c r="F415" s="60">
        <f>LN('Price Data'!F416/'Price Data'!F415)</f>
        <v>-8.0855190710205256E-3</v>
      </c>
    </row>
    <row r="416" spans="1:6" x14ac:dyDescent="0.35">
      <c r="A416" s="2">
        <v>45174</v>
      </c>
      <c r="B416" s="60">
        <f>LN('Price Data'!B417/'Price Data'!B416)</f>
        <v>5.3368763289010305E-3</v>
      </c>
      <c r="C416" s="60">
        <f>LN('Price Data'!C417/'Price Data'!C416)</f>
        <v>3.1688958571736625E-3</v>
      </c>
      <c r="D416" s="60">
        <f>LN('Price Data'!D417/'Price Data'!D416)</f>
        <v>1.0848509394071992E-3</v>
      </c>
      <c r="E416" s="60">
        <f>LN('Price Data'!E417/'Price Data'!E416)</f>
        <v>9.3732539372885591E-3</v>
      </c>
      <c r="F416" s="60">
        <f>LN('Price Data'!F417/'Price Data'!F416)</f>
        <v>1.2724345208263765E-2</v>
      </c>
    </row>
    <row r="417" spans="1:6" x14ac:dyDescent="0.35">
      <c r="A417" s="2">
        <v>45175</v>
      </c>
      <c r="B417" s="60">
        <f>LN('Price Data'!B418/'Price Data'!B417)</f>
        <v>2.1020966873418266E-3</v>
      </c>
      <c r="C417" s="60">
        <f>LN('Price Data'!C418/'Price Data'!C417)</f>
        <v>1.6111055001364526E-4</v>
      </c>
      <c r="D417" s="60">
        <f>LN('Price Data'!D418/'Price Data'!D417)</f>
        <v>-1.1319504009102315E-2</v>
      </c>
      <c r="E417" s="60">
        <f>LN('Price Data'!E418/'Price Data'!E417)</f>
        <v>-9.796652233629913E-4</v>
      </c>
      <c r="F417" s="60">
        <f>LN('Price Data'!F418/'Price Data'!F417)</f>
        <v>9.7571013954212901E-3</v>
      </c>
    </row>
    <row r="418" spans="1:6" x14ac:dyDescent="0.35">
      <c r="A418" s="2">
        <v>45176</v>
      </c>
      <c r="B418" s="60">
        <f>LN('Price Data'!B419/'Price Data'!B418)</f>
        <v>1.3578293278818717E-3</v>
      </c>
      <c r="C418" s="60">
        <f>LN('Price Data'!C419/'Price Data'!C418)</f>
        <v>7.3628128498603356E-3</v>
      </c>
      <c r="D418" s="60">
        <f>LN('Price Data'!D419/'Price Data'!D418)</f>
        <v>8.4757286638072575E-3</v>
      </c>
      <c r="E418" s="60">
        <f>LN('Price Data'!E419/'Price Data'!E418)</f>
        <v>-7.6456994078457751E-3</v>
      </c>
      <c r="F418" s="60">
        <f>LN('Price Data'!F419/'Price Data'!F418)</f>
        <v>-3.4551340696007443E-3</v>
      </c>
    </row>
    <row r="419" spans="1:6" x14ac:dyDescent="0.35">
      <c r="A419" s="2">
        <v>45177</v>
      </c>
      <c r="B419" s="60">
        <f>LN('Price Data'!B420/'Price Data'!B419)</f>
        <v>6.6390965553543456E-3</v>
      </c>
      <c r="C419" s="60">
        <f>LN('Price Data'!C420/'Price Data'!C419)</f>
        <v>-3.8687134398043672E-3</v>
      </c>
      <c r="D419" s="60">
        <f>LN('Price Data'!D420/'Price Data'!D419)</f>
        <v>5.0614713984920082E-3</v>
      </c>
      <c r="E419" s="60">
        <f>LN('Price Data'!E420/'Price Data'!E419)</f>
        <v>2.315592915034343E-3</v>
      </c>
      <c r="F419" s="60">
        <f>LN('Price Data'!F420/'Price Data'!F419)</f>
        <v>-7.328306131557891E-3</v>
      </c>
    </row>
    <row r="420" spans="1:6" x14ac:dyDescent="0.35">
      <c r="A420" s="2">
        <v>45180</v>
      </c>
      <c r="B420" s="60">
        <f>LN('Price Data'!B421/'Price Data'!B420)</f>
        <v>1.0725706138463315E-2</v>
      </c>
      <c r="C420" s="60">
        <f>LN('Price Data'!C421/'Price Data'!C420)</f>
        <v>1.1195029431688052E-2</v>
      </c>
      <c r="D420" s="60">
        <f>LN('Price Data'!D421/'Price Data'!D420)</f>
        <v>7.9023399734216172E-3</v>
      </c>
      <c r="E420" s="60">
        <f>LN('Price Data'!E421/'Price Data'!E420)</f>
        <v>4.6560294931440611E-3</v>
      </c>
      <c r="F420" s="60">
        <f>LN('Price Data'!F421/'Price Data'!F420)</f>
        <v>1.0239929819728016E-2</v>
      </c>
    </row>
    <row r="421" spans="1:6" x14ac:dyDescent="0.35">
      <c r="A421" s="2">
        <v>45181</v>
      </c>
      <c r="B421" s="60">
        <f>LN('Price Data'!B422/'Price Data'!B421)</f>
        <v>-1.4548049785436768E-2</v>
      </c>
      <c r="C421" s="60">
        <f>LN('Price Data'!C422/'Price Data'!C421)</f>
        <v>2.8364884071813121E-2</v>
      </c>
      <c r="D421" s="60">
        <f>LN('Price Data'!D422/'Price Data'!D421)</f>
        <v>1.2444605048083746E-2</v>
      </c>
      <c r="E421" s="60">
        <f>LN('Price Data'!E422/'Price Data'!E421)</f>
        <v>1.6556322885401768E-2</v>
      </c>
      <c r="F421" s="60">
        <f>LN('Price Data'!F422/'Price Data'!F421)</f>
        <v>8.778076016033887E-3</v>
      </c>
    </row>
    <row r="422" spans="1:6" x14ac:dyDescent="0.35">
      <c r="A422" s="2">
        <v>45182</v>
      </c>
      <c r="B422" s="60">
        <f>LN('Price Data'!B423/'Price Data'!B422)</f>
        <v>4.9898670382099537E-3</v>
      </c>
      <c r="C422" s="60">
        <f>LN('Price Data'!C423/'Price Data'!C422)</f>
        <v>-3.6201779919191458E-3</v>
      </c>
      <c r="D422" s="60">
        <f>LN('Price Data'!D423/'Price Data'!D422)</f>
        <v>-7.0696362082000555E-4</v>
      </c>
      <c r="E422" s="60">
        <f>LN('Price Data'!E423/'Price Data'!E422)</f>
        <v>-1.8372990174995538E-3</v>
      </c>
      <c r="F422" s="60">
        <f>LN('Price Data'!F423/'Price Data'!F422)</f>
        <v>5.2114489129183404E-3</v>
      </c>
    </row>
    <row r="423" spans="1:6" x14ac:dyDescent="0.35">
      <c r="A423" s="2">
        <v>45183</v>
      </c>
      <c r="B423" s="60">
        <f>LN('Price Data'!B424/'Price Data'!B423)</f>
        <v>9.1347297333846291E-4</v>
      </c>
      <c r="C423" s="60">
        <f>LN('Price Data'!C424/'Price Data'!C423)</f>
        <v>-2.1902664558797057E-3</v>
      </c>
      <c r="D423" s="60">
        <f>LN('Price Data'!D424/'Price Data'!D423)</f>
        <v>-2.1238946037039682E-3</v>
      </c>
      <c r="E423" s="60">
        <f>LN('Price Data'!E424/'Price Data'!E423)</f>
        <v>5.728718744983311E-3</v>
      </c>
      <c r="F423" s="60">
        <f>LN('Price Data'!F424/'Price Data'!F423)</f>
        <v>-7.8626323532985706E-3</v>
      </c>
    </row>
    <row r="424" spans="1:6" x14ac:dyDescent="0.35">
      <c r="A424" s="2">
        <v>45184</v>
      </c>
      <c r="B424" s="60">
        <f>LN('Price Data'!B425/'Price Data'!B424)</f>
        <v>1.8569956223800815E-3</v>
      </c>
      <c r="C424" s="60">
        <f>LN('Price Data'!C425/'Price Data'!C424)</f>
        <v>1.0688714516993467E-2</v>
      </c>
      <c r="D424" s="60">
        <f>LN('Price Data'!D425/'Price Data'!D424)</f>
        <v>4.7976255445050329E-3</v>
      </c>
      <c r="E424" s="60">
        <f>LN('Price Data'!E425/'Price Data'!E424)</f>
        <v>3.0783196174620801E-3</v>
      </c>
      <c r="F424" s="60">
        <f>LN('Price Data'!F425/'Price Data'!F424)</f>
        <v>-3.5773161237400933E-3</v>
      </c>
    </row>
    <row r="425" spans="1:6" x14ac:dyDescent="0.35">
      <c r="A425" s="2">
        <v>45187</v>
      </c>
      <c r="B425" s="60">
        <f>LN('Price Data'!B426/'Price Data'!B425)</f>
        <v>-8.7530951353980372E-3</v>
      </c>
      <c r="C425" s="60">
        <f>LN('Price Data'!C426/'Price Data'!C425)</f>
        <v>2.1781488218252459E-3</v>
      </c>
      <c r="D425" s="60">
        <f>LN('Price Data'!D426/'Price Data'!D425)</f>
        <v>-2.2696905312640046E-3</v>
      </c>
      <c r="E425" s="60">
        <f>LN('Price Data'!E426/'Price Data'!E425)</f>
        <v>-1.3185885672792419E-2</v>
      </c>
      <c r="F425" s="60">
        <f>LN('Price Data'!F426/'Price Data'!F425)</f>
        <v>8.2181307343814312E-3</v>
      </c>
    </row>
    <row r="426" spans="1:6" x14ac:dyDescent="0.35">
      <c r="A426" s="2">
        <v>45189</v>
      </c>
      <c r="B426" s="60">
        <f>LN('Price Data'!B427/'Price Data'!B426)</f>
        <v>-2.2538714165477217E-2</v>
      </c>
      <c r="C426" s="60">
        <f>LN('Price Data'!C427/'Price Data'!C426)</f>
        <v>-2.7859266132972744E-5</v>
      </c>
      <c r="D426" s="60">
        <f>LN('Price Data'!D427/'Price Data'!D426)</f>
        <v>-3.084939357084903E-3</v>
      </c>
      <c r="E426" s="60">
        <f>LN('Price Data'!E427/'Price Data'!E426)</f>
        <v>-1.0386668229947652E-3</v>
      </c>
      <c r="F426" s="60">
        <f>LN('Price Data'!F427/'Price Data'!F426)</f>
        <v>2.0090178925354259E-3</v>
      </c>
    </row>
    <row r="427" spans="1:6" x14ac:dyDescent="0.35">
      <c r="A427" s="2">
        <v>45190</v>
      </c>
      <c r="B427" s="60">
        <f>LN('Price Data'!B428/'Price Data'!B427)</f>
        <v>-7.3057915736092147E-3</v>
      </c>
      <c r="C427" s="60">
        <f>LN('Price Data'!C428/'Price Data'!C427)</f>
        <v>-5.772433039569827E-3</v>
      </c>
      <c r="D427" s="60">
        <f>LN('Price Data'!D428/'Price Data'!D427)</f>
        <v>-2.8618151746335925E-2</v>
      </c>
      <c r="E427" s="60">
        <f>LN('Price Data'!E428/'Price Data'!E427)</f>
        <v>7.6834773994399691E-3</v>
      </c>
      <c r="F427" s="60">
        <f>LN('Price Data'!F428/'Price Data'!F427)</f>
        <v>-1.2115099345810102E-2</v>
      </c>
    </row>
    <row r="428" spans="1:6" x14ac:dyDescent="0.35">
      <c r="A428" s="2">
        <v>45191</v>
      </c>
      <c r="B428" s="60">
        <f>LN('Price Data'!B429/'Price Data'!B428)</f>
        <v>-4.1782023349332502E-3</v>
      </c>
      <c r="C428" s="60">
        <f>LN('Price Data'!C429/'Price Data'!C428)</f>
        <v>5.1063655303252081E-3</v>
      </c>
      <c r="D428" s="60">
        <f>LN('Price Data'!D429/'Price Data'!D428)</f>
        <v>-9.4261276066323254E-3</v>
      </c>
      <c r="E428" s="60">
        <f>LN('Price Data'!E429/'Price Data'!E428)</f>
        <v>-3.7301710421656169E-3</v>
      </c>
      <c r="F428" s="60">
        <f>LN('Price Data'!F429/'Price Data'!F428)</f>
        <v>-9.8752167470106018E-3</v>
      </c>
    </row>
    <row r="429" spans="1:6" x14ac:dyDescent="0.35">
      <c r="A429" s="2">
        <v>45194</v>
      </c>
      <c r="B429" s="60">
        <f>LN('Price Data'!B430/'Price Data'!B429)</f>
        <v>-6.1763035553803148E-3</v>
      </c>
      <c r="C429" s="60">
        <f>LN('Price Data'!C430/'Price Data'!C429)</f>
        <v>-7.3814495830359754E-3</v>
      </c>
      <c r="D429" s="60">
        <f>LN('Price Data'!D430/'Price Data'!D429)</f>
        <v>6.3462306192736267E-3</v>
      </c>
      <c r="E429" s="60">
        <f>LN('Price Data'!E430/'Price Data'!E429)</f>
        <v>-1.4815788028421602E-2</v>
      </c>
      <c r="F429" s="60">
        <f>LN('Price Data'!F430/'Price Data'!F429)</f>
        <v>-1.1457489199160216E-3</v>
      </c>
    </row>
    <row r="430" spans="1:6" x14ac:dyDescent="0.35">
      <c r="A430" s="2">
        <v>45195</v>
      </c>
      <c r="B430" s="60">
        <f>LN('Price Data'!B431/'Price Data'!B430)</f>
        <v>8.7978924900798216E-4</v>
      </c>
      <c r="C430" s="60">
        <f>LN('Price Data'!C431/'Price Data'!C430)</f>
        <v>2.3871615207737675E-3</v>
      </c>
      <c r="D430" s="60">
        <f>LN('Price Data'!D431/'Price Data'!D430)</f>
        <v>-8.0313284377118953E-3</v>
      </c>
      <c r="E430" s="60">
        <f>LN('Price Data'!E431/'Price Data'!E430)</f>
        <v>-9.2038959044507974E-3</v>
      </c>
      <c r="F430" s="60">
        <f>LN('Price Data'!F431/'Price Data'!F430)</f>
        <v>-3.344241963184166E-4</v>
      </c>
    </row>
    <row r="431" spans="1:6" x14ac:dyDescent="0.35">
      <c r="A431" s="2">
        <v>45196</v>
      </c>
      <c r="B431" s="60">
        <f>LN('Price Data'!B432/'Price Data'!B431)</f>
        <v>1.1206977251503941E-2</v>
      </c>
      <c r="C431" s="60">
        <f>LN('Price Data'!C432/'Price Data'!C431)</f>
        <v>1.0053333918703699E-3</v>
      </c>
      <c r="D431" s="60">
        <f>LN('Price Data'!D432/'Price Data'!D431)</f>
        <v>-5.9203048489920532E-3</v>
      </c>
      <c r="E431" s="60">
        <f>LN('Price Data'!E432/'Price Data'!E431)</f>
        <v>4.341799321462155E-3</v>
      </c>
      <c r="F431" s="60">
        <f>LN('Price Data'!F432/'Price Data'!F431)</f>
        <v>1.5033598291986543E-2</v>
      </c>
    </row>
    <row r="432" spans="1:6" x14ac:dyDescent="0.35">
      <c r="A432" s="2">
        <v>45197</v>
      </c>
      <c r="B432" s="60">
        <f>LN('Price Data'!B433/'Price Data'!B432)</f>
        <v>-1.4799334533939714E-2</v>
      </c>
      <c r="C432" s="60">
        <f>LN('Price Data'!C433/'Price Data'!C432)</f>
        <v>-1.4749625581610413E-2</v>
      </c>
      <c r="D432" s="60">
        <f>LN('Price Data'!D433/'Price Data'!D432)</f>
        <v>-5.3030706020869463E-4</v>
      </c>
      <c r="E432" s="60">
        <f>LN('Price Data'!E433/'Price Data'!E432)</f>
        <v>-1.8961456069890768E-2</v>
      </c>
      <c r="F432" s="60">
        <f>LN('Price Data'!F433/'Price Data'!F432)</f>
        <v>-1.8887536587771505E-2</v>
      </c>
    </row>
    <row r="433" spans="1:6" x14ac:dyDescent="0.35">
      <c r="A433" s="2">
        <v>45198</v>
      </c>
      <c r="B433" s="60">
        <f>LN('Price Data'!B434/'Price Data'!B433)</f>
        <v>4.6590240502382523E-3</v>
      </c>
      <c r="C433" s="60">
        <f>LN('Price Data'!C434/'Price Data'!C433)</f>
        <v>-2.3063468860539029E-3</v>
      </c>
      <c r="D433" s="60">
        <f>LN('Price Data'!D434/'Price Data'!D433)</f>
        <v>9.8179727676290848E-3</v>
      </c>
      <c r="E433" s="60">
        <f>LN('Price Data'!E434/'Price Data'!E433)</f>
        <v>-2.7774006149684427E-3</v>
      </c>
      <c r="F433" s="60">
        <f>LN('Price Data'!F434/'Price Data'!F433)</f>
        <v>8.2641150565466535E-3</v>
      </c>
    </row>
    <row r="434" spans="1:6" x14ac:dyDescent="0.35">
      <c r="A434" s="2">
        <v>45202</v>
      </c>
      <c r="B434" s="60">
        <f>LN('Price Data'!B435/'Price Data'!B434)</f>
        <v>-1.1520261910627678E-2</v>
      </c>
      <c r="C434" s="60">
        <f>LN('Price Data'!C435/'Price Data'!C434)</f>
        <v>-4.1911795638750159E-3</v>
      </c>
      <c r="D434" s="60">
        <f>LN('Price Data'!D435/'Price Data'!D434)</f>
        <v>-1.2261013974228326E-2</v>
      </c>
      <c r="E434" s="60">
        <f>LN('Price Data'!E435/'Price Data'!E434)</f>
        <v>-1.0163421672023086E-3</v>
      </c>
      <c r="F434" s="60">
        <f>LN('Price Data'!F435/'Price Data'!F434)</f>
        <v>-1.0521127155658443E-2</v>
      </c>
    </row>
    <row r="435" spans="1:6" x14ac:dyDescent="0.35">
      <c r="A435" s="2">
        <v>45203</v>
      </c>
      <c r="B435" s="60">
        <f>LN('Price Data'!B436/'Price Data'!B435)</f>
        <v>-1.7270117498034735E-3</v>
      </c>
      <c r="C435" s="60">
        <f>LN('Price Data'!C436/'Price Data'!C435)</f>
        <v>6.7787017645888972E-3</v>
      </c>
      <c r="D435" s="60">
        <f>LN('Price Data'!D436/'Price Data'!D435)</f>
        <v>-1.0960625140071359E-2</v>
      </c>
      <c r="E435" s="60">
        <f>LN('Price Data'!E436/'Price Data'!E435)</f>
        <v>7.1972416249446178E-3</v>
      </c>
      <c r="F435" s="60">
        <f>LN('Price Data'!F436/'Price Data'!F435)</f>
        <v>-8.3276486911790671E-3</v>
      </c>
    </row>
    <row r="436" spans="1:6" x14ac:dyDescent="0.35">
      <c r="A436" s="2">
        <v>45204</v>
      </c>
      <c r="B436" s="60">
        <f>LN('Price Data'!B437/'Price Data'!B436)</f>
        <v>-1.7285188322507224E-5</v>
      </c>
      <c r="C436" s="60">
        <f>LN('Price Data'!C437/'Price Data'!C436)</f>
        <v>1.4482444990939685E-2</v>
      </c>
      <c r="D436" s="60">
        <f>LN('Price Data'!D437/'Price Data'!D436)</f>
        <v>1.1545373847693779E-2</v>
      </c>
      <c r="E436" s="60">
        <f>LN('Price Data'!E437/'Price Data'!E436)</f>
        <v>1.3135194436964934E-2</v>
      </c>
      <c r="F436" s="60">
        <f>LN('Price Data'!F437/'Price Data'!F436)</f>
        <v>-1.2120183756823347E-4</v>
      </c>
    </row>
    <row r="437" spans="1:6" x14ac:dyDescent="0.35">
      <c r="A437" s="2">
        <v>45205</v>
      </c>
      <c r="B437" s="60">
        <f>LN('Price Data'!B438/'Price Data'!B437)</f>
        <v>1.6839018680709181E-3</v>
      </c>
      <c r="C437" s="60">
        <f>LN('Price Data'!C438/'Price Data'!C437)</f>
        <v>8.8889474172459942E-3</v>
      </c>
      <c r="D437" s="60">
        <f>LN('Price Data'!D438/'Price Data'!D437)</f>
        <v>4.6128233220992998E-3</v>
      </c>
      <c r="E437" s="60">
        <f>LN('Price Data'!E438/'Price Data'!E437)</f>
        <v>1.0363566296963422E-2</v>
      </c>
      <c r="F437" s="60">
        <f>LN('Price Data'!F438/'Price Data'!F437)</f>
        <v>1.3890616825252767E-2</v>
      </c>
    </row>
    <row r="438" spans="1:6" x14ac:dyDescent="0.35">
      <c r="A438" s="2">
        <v>45208</v>
      </c>
      <c r="B438" s="60">
        <f>LN('Price Data'!B439/'Price Data'!B438)</f>
        <v>-8.5524300285646105E-3</v>
      </c>
      <c r="C438" s="60">
        <f>LN('Price Data'!C439/'Price Data'!C438)</f>
        <v>4.6690839527558379E-3</v>
      </c>
      <c r="D438" s="60">
        <f>LN('Price Data'!D439/'Price Data'!D438)</f>
        <v>-7.0071419524355329E-3</v>
      </c>
      <c r="E438" s="60">
        <f>LN('Price Data'!E439/'Price Data'!E438)</f>
        <v>-2.1990824462774917E-3</v>
      </c>
      <c r="F438" s="60">
        <f>LN('Price Data'!F439/'Price Data'!F438)</f>
        <v>-3.8565231341506126E-3</v>
      </c>
    </row>
    <row r="439" spans="1:6" x14ac:dyDescent="0.35">
      <c r="A439" s="2">
        <v>45209</v>
      </c>
      <c r="B439" s="60">
        <f>LN('Price Data'!B440/'Price Data'!B439)</f>
        <v>4.4023289656788837E-3</v>
      </c>
      <c r="C439" s="60">
        <f>LN('Price Data'!C440/'Price Data'!C439)</f>
        <v>-2.6017021116103056E-3</v>
      </c>
      <c r="D439" s="60">
        <f>LN('Price Data'!D440/'Price Data'!D439)</f>
        <v>1.3334942016254752E-2</v>
      </c>
      <c r="E439" s="60">
        <f>LN('Price Data'!E440/'Price Data'!E439)</f>
        <v>1.326379065444609E-2</v>
      </c>
      <c r="F439" s="60">
        <f>LN('Price Data'!F440/'Price Data'!F439)</f>
        <v>8.9358839933037035E-3</v>
      </c>
    </row>
    <row r="440" spans="1:6" x14ac:dyDescent="0.35">
      <c r="A440" s="2">
        <v>45210</v>
      </c>
      <c r="B440" s="60">
        <f>LN('Price Data'!B441/'Price Data'!B440)</f>
        <v>1.5756344070187701E-2</v>
      </c>
      <c r="C440" s="60">
        <f>LN('Price Data'!C441/'Price Data'!C440)</f>
        <v>-5.248845912943923E-3</v>
      </c>
      <c r="D440" s="60">
        <f>LN('Price Data'!D441/'Price Data'!D440)</f>
        <v>1.9954845670081033E-3</v>
      </c>
      <c r="E440" s="60">
        <f>LN('Price Data'!E441/'Price Data'!E440)</f>
        <v>-4.9784715775311747E-4</v>
      </c>
      <c r="F440" s="60">
        <f>LN('Price Data'!F441/'Price Data'!F440)</f>
        <v>8.6209472181681748E-3</v>
      </c>
    </row>
    <row r="441" spans="1:6" x14ac:dyDescent="0.35">
      <c r="A441" s="2">
        <v>45211</v>
      </c>
      <c r="B441" s="60">
        <f>LN('Price Data'!B442/'Price Data'!B441)</f>
        <v>1.8489884827864534E-3</v>
      </c>
      <c r="C441" s="60">
        <f>LN('Price Data'!C442/'Price Data'!C441)</f>
        <v>-1.8833445674687511E-2</v>
      </c>
      <c r="D441" s="60">
        <f>LN('Price Data'!D442/'Price Data'!D441)</f>
        <v>1.205861681758971E-3</v>
      </c>
      <c r="E441" s="60">
        <f>LN('Price Data'!E442/'Price Data'!E441)</f>
        <v>-1.9529587988194395E-2</v>
      </c>
      <c r="F441" s="60">
        <f>LN('Price Data'!F442/'Price Data'!F441)</f>
        <v>5.4561410959974603E-3</v>
      </c>
    </row>
    <row r="442" spans="1:6" x14ac:dyDescent="0.35">
      <c r="A442" s="2">
        <v>45212</v>
      </c>
      <c r="B442" s="60">
        <f>LN('Price Data'!B443/'Price Data'!B442)</f>
        <v>-4.2564964783828031E-5</v>
      </c>
      <c r="C442" s="60">
        <f>LN('Price Data'!C443/'Price Data'!C442)</f>
        <v>7.9570060204950891E-3</v>
      </c>
      <c r="D442" s="60">
        <f>LN('Price Data'!D443/'Price Data'!D442)</f>
        <v>-3.0962214129277785E-3</v>
      </c>
      <c r="E442" s="60">
        <f>LN('Price Data'!E443/'Price Data'!E442)</f>
        <v>-2.3719875304379488E-2</v>
      </c>
      <c r="F442" s="60">
        <f>LN('Price Data'!F443/'Price Data'!F442)</f>
        <v>-5.2439244927889143E-3</v>
      </c>
    </row>
    <row r="443" spans="1:6" x14ac:dyDescent="0.35">
      <c r="A443" s="2">
        <v>45215</v>
      </c>
      <c r="B443" s="60">
        <f>LN('Price Data'!B444/'Price Data'!B443)</f>
        <v>-2.2329427860784444E-3</v>
      </c>
      <c r="C443" s="60">
        <f>LN('Price Data'!C444/'Price Data'!C443)</f>
        <v>-1.3191585453111233E-2</v>
      </c>
      <c r="D443" s="60">
        <f>LN('Price Data'!D444/'Price Data'!D443)</f>
        <v>1.051137857697954E-4</v>
      </c>
      <c r="E443" s="60">
        <f>LN('Price Data'!E444/'Price Data'!E443)</f>
        <v>2.0917866424731294E-3</v>
      </c>
      <c r="F443" s="60">
        <f>LN('Price Data'!F444/'Price Data'!F443)</f>
        <v>1.3429936635977755E-3</v>
      </c>
    </row>
    <row r="444" spans="1:6" x14ac:dyDescent="0.35">
      <c r="A444" s="2">
        <v>45216</v>
      </c>
      <c r="B444" s="60">
        <f>LN('Price Data'!B445/'Price Data'!B444)</f>
        <v>4.7666561146159992E-3</v>
      </c>
      <c r="C444" s="60">
        <f>LN('Price Data'!C445/'Price Data'!C444)</f>
        <v>-4.835206914645571E-3</v>
      </c>
      <c r="D444" s="60">
        <f>LN('Price Data'!D445/'Price Data'!D444)</f>
        <v>2.6242601529812238E-3</v>
      </c>
      <c r="E444" s="60">
        <f>LN('Price Data'!E445/'Price Data'!E444)</f>
        <v>5.7752705549313655E-3</v>
      </c>
      <c r="F444" s="60">
        <f>LN('Price Data'!F445/'Price Data'!F444)</f>
        <v>9.9804033383500447E-3</v>
      </c>
    </row>
    <row r="445" spans="1:6" x14ac:dyDescent="0.35">
      <c r="A445" s="2">
        <v>45217</v>
      </c>
      <c r="B445" s="60">
        <f>LN('Price Data'!B446/'Price Data'!B445)</f>
        <v>-1.3361285781737455E-2</v>
      </c>
      <c r="C445" s="60">
        <f>LN('Price Data'!C446/'Price Data'!C445)</f>
        <v>-5.6621405069630223E-3</v>
      </c>
      <c r="D445" s="60">
        <f>LN('Price Data'!D446/'Price Data'!D445)</f>
        <v>-1.0697543587927913E-2</v>
      </c>
      <c r="E445" s="60">
        <f>LN('Price Data'!E446/'Price Data'!E445)</f>
        <v>-1.3185205182084879E-3</v>
      </c>
      <c r="F445" s="60">
        <f>LN('Price Data'!F446/'Price Data'!F445)</f>
        <v>-3.9708545121809238E-3</v>
      </c>
    </row>
    <row r="446" spans="1:6" x14ac:dyDescent="0.35">
      <c r="A446" s="2">
        <v>45218</v>
      </c>
      <c r="B446" s="60">
        <f>LN('Price Data'!B447/'Price Data'!B446)</f>
        <v>-7.7147077974425255E-3</v>
      </c>
      <c r="C446" s="60">
        <f>LN('Price Data'!C447/'Price Data'!C446)</f>
        <v>-9.1045474142070117E-3</v>
      </c>
      <c r="D446" s="60">
        <f>LN('Price Data'!D447/'Price Data'!D446)</f>
        <v>-8.5129537786960835E-3</v>
      </c>
      <c r="E446" s="60">
        <f>LN('Price Data'!E447/'Price Data'!E446)</f>
        <v>-4.800401087013224E-3</v>
      </c>
      <c r="F446" s="60">
        <f>LN('Price Data'!F447/'Price Data'!F446)</f>
        <v>-2.7890098350626552E-3</v>
      </c>
    </row>
    <row r="447" spans="1:6" x14ac:dyDescent="0.35">
      <c r="A447" s="2">
        <v>45219</v>
      </c>
      <c r="B447" s="60">
        <f>LN('Price Data'!B448/'Price Data'!B447)</f>
        <v>-3.057389184468635E-3</v>
      </c>
      <c r="C447" s="60">
        <f>LN('Price Data'!C448/'Price Data'!C447)</f>
        <v>1.1193877056489948E-2</v>
      </c>
      <c r="D447" s="60">
        <f>LN('Price Data'!D448/'Price Data'!D447)</f>
        <v>-3.2111346832711255E-3</v>
      </c>
      <c r="E447" s="60">
        <f>LN('Price Data'!E448/'Price Data'!E447)</f>
        <v>-4.4782437479969585E-3</v>
      </c>
      <c r="F447" s="60">
        <f>LN('Price Data'!F448/'Price Data'!F447)</f>
        <v>-2.7216448184170943E-2</v>
      </c>
    </row>
    <row r="448" spans="1:6" x14ac:dyDescent="0.35">
      <c r="A448" s="2">
        <v>45222</v>
      </c>
      <c r="B448" s="60">
        <f>LN('Price Data'!B449/'Price Data'!B448)</f>
        <v>-1.5738001002533353E-2</v>
      </c>
      <c r="C448" s="60">
        <f>LN('Price Data'!C449/'Price Data'!C448)</f>
        <v>-2.4448135616448416E-2</v>
      </c>
      <c r="D448" s="60">
        <f>LN('Price Data'!D449/'Price Data'!D448)</f>
        <v>-3.006390840131361E-3</v>
      </c>
      <c r="E448" s="60">
        <f>LN('Price Data'!E449/'Price Data'!E448)</f>
        <v>-1.3113616598263361E-2</v>
      </c>
      <c r="F448" s="60">
        <f>LN('Price Data'!F449/'Price Data'!F448)</f>
        <v>-5.4896692925418466E-3</v>
      </c>
    </row>
    <row r="449" spans="1:6" x14ac:dyDescent="0.35">
      <c r="A449" s="2">
        <v>45224</v>
      </c>
      <c r="B449" s="60">
        <f>LN('Price Data'!B450/'Price Data'!B449)</f>
        <v>-2.3268478185736658E-3</v>
      </c>
      <c r="C449" s="60">
        <f>LN('Price Data'!C450/'Price Data'!C449)</f>
        <v>-5.8946319902768987E-3</v>
      </c>
      <c r="D449" s="60">
        <f>LN('Price Data'!D450/'Price Data'!D449)</f>
        <v>-1.5005292239972913E-2</v>
      </c>
      <c r="E449" s="60">
        <f>LN('Price Data'!E450/'Price Data'!E449)</f>
        <v>-2.7789116311304755E-2</v>
      </c>
      <c r="F449" s="60">
        <f>LN('Price Data'!F450/'Price Data'!F449)</f>
        <v>-7.3748980376060697E-3</v>
      </c>
    </row>
    <row r="450" spans="1:6" x14ac:dyDescent="0.35">
      <c r="A450" s="2">
        <v>45225</v>
      </c>
      <c r="B450" s="60">
        <f>LN('Price Data'!B451/'Price Data'!B450)</f>
        <v>-1.4022047407026696E-2</v>
      </c>
      <c r="C450" s="60">
        <f>LN('Price Data'!C451/'Price Data'!C450)</f>
        <v>-1.5863937352202054E-2</v>
      </c>
      <c r="D450" s="60">
        <f>LN('Price Data'!D451/'Price Data'!D450)</f>
        <v>-8.1655474938926841E-3</v>
      </c>
      <c r="E450" s="60">
        <f>LN('Price Data'!E451/'Price Data'!E450)</f>
        <v>-7.7666000892203406E-3</v>
      </c>
      <c r="F450" s="60">
        <f>LN('Price Data'!F451/'Price Data'!F450)</f>
        <v>3.803769338060781E-3</v>
      </c>
    </row>
    <row r="451" spans="1:6" x14ac:dyDescent="0.35">
      <c r="A451" s="2">
        <v>45226</v>
      </c>
      <c r="B451" s="60">
        <f>LN('Price Data'!B452/'Price Data'!B451)</f>
        <v>1.7497051677631197E-2</v>
      </c>
      <c r="C451" s="60">
        <f>LN('Price Data'!C452/'Price Data'!C451)</f>
        <v>4.248255563785679E-3</v>
      </c>
      <c r="D451" s="60">
        <f>LN('Price Data'!D452/'Price Data'!D451)</f>
        <v>4.502039008475873E-3</v>
      </c>
      <c r="E451" s="60">
        <f>LN('Price Data'!E452/'Price Data'!E451)</f>
        <v>1.5254806839631898E-2</v>
      </c>
      <c r="F451" s="60">
        <f>LN('Price Data'!F452/'Price Data'!F451)</f>
        <v>-1.3881618828639768E-3</v>
      </c>
    </row>
    <row r="452" spans="1:6" x14ac:dyDescent="0.35">
      <c r="A452" s="2">
        <v>45229</v>
      </c>
      <c r="B452" s="60">
        <f>LN('Price Data'!B453/'Price Data'!B452)</f>
        <v>2.0401292947191986E-2</v>
      </c>
      <c r="C452" s="60">
        <f>LN('Price Data'!C453/'Price Data'!C452)</f>
        <v>8.2019189443094057E-3</v>
      </c>
      <c r="D452" s="60">
        <f>LN('Price Data'!D453/'Price Data'!D452)</f>
        <v>1.3223603024468024E-2</v>
      </c>
      <c r="E452" s="60">
        <f>LN('Price Data'!E453/'Price Data'!E452)</f>
        <v>-2.3924677888889274E-3</v>
      </c>
      <c r="F452" s="60">
        <f>LN('Price Data'!F453/'Price Data'!F452)</f>
        <v>-7.6326911149507742E-3</v>
      </c>
    </row>
    <row r="453" spans="1:6" x14ac:dyDescent="0.35">
      <c r="A453" s="2">
        <v>45230</v>
      </c>
      <c r="B453" s="60">
        <f>LN('Price Data'!B454/'Price Data'!B453)</f>
        <v>-1.0694824135745865E-2</v>
      </c>
      <c r="C453" s="60">
        <f>LN('Price Data'!C454/'Price Data'!C453)</f>
        <v>-2.906416108690513E-3</v>
      </c>
      <c r="D453" s="60">
        <f>LN('Price Data'!D454/'Price Data'!D453)</f>
        <v>-1.037911776319062E-2</v>
      </c>
      <c r="E453" s="60">
        <f>LN('Price Data'!E454/'Price Data'!E453)</f>
        <v>-6.3002486734552547E-3</v>
      </c>
      <c r="F453" s="60">
        <f>LN('Price Data'!F454/'Price Data'!F453)</f>
        <v>-4.7755112418495999E-3</v>
      </c>
    </row>
    <row r="454" spans="1:6" x14ac:dyDescent="0.35">
      <c r="A454" s="2">
        <v>45231</v>
      </c>
      <c r="B454" s="60">
        <f>LN('Price Data'!B455/'Price Data'!B454)</f>
        <v>4.1436824604694595E-3</v>
      </c>
      <c r="C454" s="60">
        <f>LN('Price Data'!C455/'Price Data'!C454)</f>
        <v>-1.137299504517373E-2</v>
      </c>
      <c r="D454" s="60">
        <f>LN('Price Data'!D455/'Price Data'!D454)</f>
        <v>-1.4212312439295402E-3</v>
      </c>
      <c r="E454" s="60">
        <f>LN('Price Data'!E455/'Price Data'!E454)</f>
        <v>-1.0468128200153894E-2</v>
      </c>
      <c r="F454" s="60">
        <f>LN('Price Data'!F455/'Price Data'!F454)</f>
        <v>-6.9113620602176775E-4</v>
      </c>
    </row>
    <row r="455" spans="1:6" x14ac:dyDescent="0.35">
      <c r="A455" s="2">
        <v>45232</v>
      </c>
      <c r="B455" s="60">
        <f>LN('Price Data'!B456/'Price Data'!B455)</f>
        <v>9.875340130002375E-3</v>
      </c>
      <c r="C455" s="60">
        <f>LN('Price Data'!C456/'Price Data'!C455)</f>
        <v>8.802004007007291E-3</v>
      </c>
      <c r="D455" s="60">
        <f>LN('Price Data'!D456/'Price Data'!D455)</f>
        <v>6.4340461870083408E-3</v>
      </c>
      <c r="E455" s="60">
        <f>LN('Price Data'!E456/'Price Data'!E455)</f>
        <v>1.1746036717186948E-2</v>
      </c>
      <c r="F455" s="60">
        <f>LN('Price Data'!F456/'Price Data'!F455)</f>
        <v>7.0861207369919826E-3</v>
      </c>
    </row>
    <row r="456" spans="1:6" x14ac:dyDescent="0.35">
      <c r="A456" s="2">
        <v>45233</v>
      </c>
      <c r="B456" s="60">
        <f>LN('Price Data'!B457/'Price Data'!B456)</f>
        <v>-2.1552188708175062E-4</v>
      </c>
      <c r="C456" s="60">
        <f>LN('Price Data'!C457/'Price Data'!C456)</f>
        <v>-2.7395021661408012E-3</v>
      </c>
      <c r="D456" s="60">
        <f>LN('Price Data'!D457/'Price Data'!D456)</f>
        <v>1.4942961796734232E-2</v>
      </c>
      <c r="E456" s="60">
        <f>LN('Price Data'!E457/'Price Data'!E456)</f>
        <v>1.3704136852875181E-2</v>
      </c>
      <c r="F456" s="60">
        <f>LN('Price Data'!F457/'Price Data'!F456)</f>
        <v>4.8671417911431859E-3</v>
      </c>
    </row>
    <row r="457" spans="1:6" x14ac:dyDescent="0.35">
      <c r="A457" s="2">
        <v>45236</v>
      </c>
      <c r="B457" s="60">
        <f>LN('Price Data'!B458/'Price Data'!B457)</f>
        <v>8.2856206299544155E-3</v>
      </c>
      <c r="C457" s="60">
        <f>LN('Price Data'!C458/'Price Data'!C457)</f>
        <v>8.7193150741791039E-3</v>
      </c>
      <c r="D457" s="60">
        <f>LN('Price Data'!D458/'Price Data'!D457)</f>
        <v>1.2398722090392172E-2</v>
      </c>
      <c r="E457" s="60">
        <f>LN('Price Data'!E458/'Price Data'!E457)</f>
        <v>1.0206411910636374E-2</v>
      </c>
      <c r="F457" s="60">
        <f>LN('Price Data'!F458/'Price Data'!F457)</f>
        <v>4.8435674154447671E-3</v>
      </c>
    </row>
    <row r="458" spans="1:6" x14ac:dyDescent="0.35">
      <c r="A458" s="2">
        <v>45237</v>
      </c>
      <c r="B458" s="60">
        <f>LN('Price Data'!B459/'Price Data'!B458)</f>
        <v>-6.5197108354174737E-3</v>
      </c>
      <c r="C458" s="60">
        <f>LN('Price Data'!C459/'Price Data'!C458)</f>
        <v>-2.9019734424753345E-3</v>
      </c>
      <c r="D458" s="60">
        <f>LN('Price Data'!D459/'Price Data'!D458)</f>
        <v>2.7989772966845279E-3</v>
      </c>
      <c r="E458" s="60">
        <f>LN('Price Data'!E459/'Price Data'!E458)</f>
        <v>7.0920210575329645E-4</v>
      </c>
      <c r="F458" s="60">
        <f>LN('Price Data'!F459/'Price Data'!F458)</f>
        <v>-6.1130988359545642E-3</v>
      </c>
    </row>
    <row r="459" spans="1:6" x14ac:dyDescent="0.35">
      <c r="A459" s="2">
        <v>45238</v>
      </c>
      <c r="B459" s="60">
        <f>LN('Price Data'!B460/'Price Data'!B459)</f>
        <v>5.1934790638801078E-3</v>
      </c>
      <c r="C459" s="60">
        <f>LN('Price Data'!C460/'Price Data'!C459)</f>
        <v>3.2852968012186171E-3</v>
      </c>
      <c r="D459" s="60">
        <f>LN('Price Data'!D460/'Price Data'!D459)</f>
        <v>-1.3111635139375162E-2</v>
      </c>
      <c r="E459" s="60">
        <f>LN('Price Data'!E460/'Price Data'!E459)</f>
        <v>-9.5193244465519977E-3</v>
      </c>
      <c r="F459" s="60">
        <f>LN('Price Data'!F460/'Price Data'!F459)</f>
        <v>9.7727774276260317E-3</v>
      </c>
    </row>
    <row r="460" spans="1:6" x14ac:dyDescent="0.35">
      <c r="A460" s="2">
        <v>45239</v>
      </c>
      <c r="B460" s="60">
        <f>LN('Price Data'!B461/'Price Data'!B460)</f>
        <v>-1.0907336434386674E-2</v>
      </c>
      <c r="C460" s="60">
        <f>LN('Price Data'!C461/'Price Data'!C460)</f>
        <v>-1.013451573109404E-2</v>
      </c>
      <c r="D460" s="60">
        <f>LN('Price Data'!D461/'Price Data'!D460)</f>
        <v>1.7083982586621406E-3</v>
      </c>
      <c r="E460" s="60">
        <f>LN('Price Data'!E461/'Price Data'!E460)</f>
        <v>-1.1707947431134343E-2</v>
      </c>
      <c r="F460" s="60">
        <f>LN('Price Data'!F461/'Price Data'!F460)</f>
        <v>-5.8473313844202447E-3</v>
      </c>
    </row>
    <row r="461" spans="1:6" x14ac:dyDescent="0.35">
      <c r="A461" s="2">
        <v>45240</v>
      </c>
      <c r="B461" s="60">
        <f>LN('Price Data'!B462/'Price Data'!B461)</f>
        <v>1.8765706648053639E-3</v>
      </c>
      <c r="C461" s="60">
        <f>LN('Price Data'!C462/'Price Data'!C461)</f>
        <v>-4.1894231127967037E-3</v>
      </c>
      <c r="D461" s="60">
        <f>LN('Price Data'!D462/'Price Data'!D461)</f>
        <v>1.3326583171169794E-3</v>
      </c>
      <c r="E461" s="60">
        <f>LN('Price Data'!E462/'Price Data'!E461)</f>
        <v>-4.3397373371512771E-3</v>
      </c>
      <c r="F461" s="60">
        <f>LN('Price Data'!F462/'Price Data'!F461)</f>
        <v>4.9276130438189849E-3</v>
      </c>
    </row>
    <row r="462" spans="1:6" x14ac:dyDescent="0.35">
      <c r="A462" s="2">
        <v>45242</v>
      </c>
      <c r="B462" s="60">
        <f>LN('Price Data'!B463/'Price Data'!B462)</f>
        <v>6.7849992082109206E-3</v>
      </c>
      <c r="C462" s="60">
        <f>LN('Price Data'!C463/'Price Data'!C462)</f>
        <v>1.2227237034112848E-2</v>
      </c>
      <c r="D462" s="60">
        <f>LN('Price Data'!D463/'Price Data'!D462)</f>
        <v>3.9873521023194641E-3</v>
      </c>
      <c r="E462" s="60">
        <f>LN('Price Data'!E463/'Price Data'!E462)</f>
        <v>1.9655973304688237E-2</v>
      </c>
      <c r="F462" s="60">
        <f>LN('Price Data'!F463/'Price Data'!F462)</f>
        <v>5.984661458703678E-2</v>
      </c>
    </row>
    <row r="463" spans="1:6" x14ac:dyDescent="0.35">
      <c r="A463" s="2">
        <v>45243</v>
      </c>
      <c r="B463" s="60">
        <f>LN('Price Data'!B464/'Price Data'!B463)</f>
        <v>-6.9146028372939526E-3</v>
      </c>
      <c r="C463" s="60">
        <f>LN('Price Data'!C464/'Price Data'!C463)</f>
        <v>-1.2797005840968731E-2</v>
      </c>
      <c r="D463" s="60">
        <f>LN('Price Data'!D464/'Price Data'!D463)</f>
        <v>-8.4186345463252103E-3</v>
      </c>
      <c r="E463" s="60">
        <f>LN('Price Data'!E464/'Price Data'!E463)</f>
        <v>-1.6230998467520935E-2</v>
      </c>
      <c r="F463" s="60">
        <f>LN('Price Data'!F464/'Price Data'!F463)</f>
        <v>-6.1106548849463739E-2</v>
      </c>
    </row>
    <row r="464" spans="1:6" x14ac:dyDescent="0.35">
      <c r="A464" s="2">
        <v>45245</v>
      </c>
      <c r="B464" s="60">
        <f>LN('Price Data'!B465/'Price Data'!B464)</f>
        <v>1.7915119136161891E-2</v>
      </c>
      <c r="C464" s="60">
        <f>LN('Price Data'!C465/'Price Data'!C464)</f>
        <v>2.1600323160948523E-2</v>
      </c>
      <c r="D464" s="60">
        <f>LN('Price Data'!D465/'Price Data'!D464)</f>
        <v>7.0912829484305476E-3</v>
      </c>
      <c r="E464" s="60">
        <f>LN('Price Data'!E465/'Price Data'!E464)</f>
        <v>2.655071166484747E-2</v>
      </c>
      <c r="F464" s="60">
        <f>LN('Price Data'!F465/'Price Data'!F464)</f>
        <v>1.3557488977552297E-2</v>
      </c>
    </row>
    <row r="465" spans="1:6" x14ac:dyDescent="0.35">
      <c r="A465" s="2">
        <v>45246</v>
      </c>
      <c r="B465" s="60">
        <f>LN('Price Data'!B466/'Price Data'!B465)</f>
        <v>1.8061796589081637E-3</v>
      </c>
      <c r="C465" s="60">
        <f>LN('Price Data'!C466/'Price Data'!C465)</f>
        <v>2.7109567815357258E-2</v>
      </c>
      <c r="D465" s="60">
        <f>LN('Price Data'!D466/'Price Data'!D465)</f>
        <v>-5.4339273871501599E-3</v>
      </c>
      <c r="E465" s="60">
        <f>LN('Price Data'!E466/'Price Data'!E465)</f>
        <v>2.4090761445125081E-2</v>
      </c>
      <c r="F465" s="60">
        <f>LN('Price Data'!F466/'Price Data'!F465)</f>
        <v>-7.4904918923683174E-3</v>
      </c>
    </row>
    <row r="466" spans="1:6" x14ac:dyDescent="0.35">
      <c r="A466" s="2">
        <v>45247</v>
      </c>
      <c r="B466" s="60">
        <f>LN('Price Data'!B467/'Price Data'!B466)</f>
        <v>-2.1796940944899951E-3</v>
      </c>
      <c r="C466" s="60">
        <f>LN('Price Data'!C467/'Price Data'!C466)</f>
        <v>1.3145773575747538E-3</v>
      </c>
      <c r="D466" s="60">
        <f>LN('Price Data'!D467/'Price Data'!D466)</f>
        <v>-1.5232955961192219E-2</v>
      </c>
      <c r="E466" s="60">
        <f>LN('Price Data'!E467/'Price Data'!E466)</f>
        <v>-5.1006812629924561E-3</v>
      </c>
      <c r="F466" s="60">
        <f>LN('Price Data'!F467/'Price Data'!F466)</f>
        <v>1.3726507555552885E-3</v>
      </c>
    </row>
    <row r="467" spans="1:6" x14ac:dyDescent="0.35">
      <c r="A467" s="2">
        <v>45250</v>
      </c>
      <c r="B467" s="60">
        <f>LN('Price Data'!B468/'Price Data'!B467)</f>
        <v>-2.6355404932726372E-3</v>
      </c>
      <c r="C467" s="60">
        <f>LN('Price Data'!C468/'Price Data'!C467)</f>
        <v>4.884360473823901E-3</v>
      </c>
      <c r="D467" s="60">
        <f>LN('Price Data'!D468/'Price Data'!D467)</f>
        <v>-4.3400423835367164E-4</v>
      </c>
      <c r="E467" s="60">
        <f>LN('Price Data'!E468/'Price Data'!E467)</f>
        <v>-6.5779347657431186E-4</v>
      </c>
      <c r="F467" s="60">
        <f>LN('Price Data'!F468/'Price Data'!F467)</f>
        <v>-5.59874043197813E-3</v>
      </c>
    </row>
    <row r="468" spans="1:6" x14ac:dyDescent="0.35">
      <c r="A468" s="2">
        <v>45251</v>
      </c>
      <c r="B468" s="60">
        <f>LN('Price Data'!B469/'Price Data'!B468)</f>
        <v>1.2495245329936093E-2</v>
      </c>
      <c r="C468" s="60">
        <f>LN('Price Data'!C469/'Price Data'!C468)</f>
        <v>-2.6752886316281626E-3</v>
      </c>
      <c r="D468" s="60">
        <f>LN('Price Data'!D469/'Price Data'!D468)</f>
        <v>5.0337038981771096E-3</v>
      </c>
      <c r="E468" s="60">
        <f>LN('Price Data'!E469/'Price Data'!E468)</f>
        <v>1.6716271478752457E-3</v>
      </c>
      <c r="F468" s="60">
        <f>LN('Price Data'!F469/'Price Data'!F468)</f>
        <v>-1.2592020261258236E-3</v>
      </c>
    </row>
    <row r="469" spans="1:6" x14ac:dyDescent="0.35">
      <c r="A469" s="2">
        <v>45252</v>
      </c>
      <c r="B469" s="60">
        <f>LN('Price Data'!B470/'Price Data'!B469)</f>
        <v>3.9017481480635107E-3</v>
      </c>
      <c r="C469" s="60">
        <f>LN('Price Data'!C470/'Price Data'!C469)</f>
        <v>5.6679204459492722E-3</v>
      </c>
      <c r="D469" s="60">
        <f>LN('Price Data'!D470/'Price Data'!D469)</f>
        <v>-3.6238782661154136E-3</v>
      </c>
      <c r="E469" s="60">
        <f>LN('Price Data'!E470/'Price Data'!E469)</f>
        <v>1.297678048256379E-2</v>
      </c>
      <c r="F469" s="60">
        <f>LN('Price Data'!F470/'Price Data'!F469)</f>
        <v>7.8681650334958327E-3</v>
      </c>
    </row>
    <row r="470" spans="1:6" x14ac:dyDescent="0.35">
      <c r="A470" s="2">
        <v>45253</v>
      </c>
      <c r="B470" s="60">
        <f>LN('Price Data'!B471/'Price Data'!B470)</f>
        <v>3.0520332238926536E-3</v>
      </c>
      <c r="C470" s="60">
        <f>LN('Price Data'!C471/'Price Data'!C470)</f>
        <v>-6.2233106074898051E-3</v>
      </c>
      <c r="D470" s="60">
        <f>LN('Price Data'!D471/'Price Data'!D470)</f>
        <v>2.7089259274409887E-4</v>
      </c>
      <c r="E470" s="60">
        <f>LN('Price Data'!E471/'Price Data'!E470)</f>
        <v>-5.8808233800419739E-3</v>
      </c>
      <c r="F470" s="60">
        <f>LN('Price Data'!F471/'Price Data'!F470)</f>
        <v>1.4894182012051068E-3</v>
      </c>
    </row>
    <row r="471" spans="1:6" x14ac:dyDescent="0.35">
      <c r="A471" s="2">
        <v>45254</v>
      </c>
      <c r="B471" s="60">
        <f>LN('Price Data'!B472/'Price Data'!B471)</f>
        <v>-6.6814217209747791E-4</v>
      </c>
      <c r="C471" s="60">
        <f>LN('Price Data'!C472/'Price Data'!C471)</f>
        <v>-1.4686059750102117E-2</v>
      </c>
      <c r="D471" s="60">
        <f>LN('Price Data'!D472/'Price Data'!D471)</f>
        <v>6.9099821480257473E-3</v>
      </c>
      <c r="E471" s="60">
        <f>LN('Price Data'!E472/'Price Data'!E471)</f>
        <v>-8.2147288080099082E-3</v>
      </c>
      <c r="F471" s="60">
        <f>LN('Price Data'!F472/'Price Data'!F471)</f>
        <v>-5.8261473995910038E-3</v>
      </c>
    </row>
    <row r="472" spans="1:6" x14ac:dyDescent="0.35">
      <c r="A472" s="2">
        <v>45258</v>
      </c>
      <c r="B472" s="60">
        <f>LN('Price Data'!B473/'Price Data'!B472)</f>
        <v>2.0884238740987476E-4</v>
      </c>
      <c r="C472" s="60">
        <f>LN('Price Data'!C473/'Price Data'!C472)</f>
        <v>3.7677828458385992E-3</v>
      </c>
      <c r="D472" s="60">
        <f>LN('Price Data'!D473/'Price Data'!D472)</f>
        <v>-4.2050846373257291E-3</v>
      </c>
      <c r="E472" s="60">
        <f>LN('Price Data'!E473/'Price Data'!E472)</f>
        <v>3.6802360014191265E-3</v>
      </c>
      <c r="F472" s="60">
        <f>LN('Price Data'!F473/'Price Data'!F472)</f>
        <v>-5.836003535896226E-3</v>
      </c>
    </row>
    <row r="473" spans="1:6" x14ac:dyDescent="0.35">
      <c r="A473" s="2">
        <v>45259</v>
      </c>
      <c r="B473" s="60">
        <f>LN('Price Data'!B474/'Price Data'!B473)</f>
        <v>2.6276839377609418E-3</v>
      </c>
      <c r="C473" s="60">
        <f>LN('Price Data'!C474/'Price Data'!C473)</f>
        <v>1.2483457541436677E-2</v>
      </c>
      <c r="D473" s="60">
        <f>LN('Price Data'!D474/'Price Data'!D473)</f>
        <v>1.5120120771205614E-2</v>
      </c>
      <c r="E473" s="60">
        <f>LN('Price Data'!E474/'Price Data'!E473)</f>
        <v>1.1649352295736465E-2</v>
      </c>
      <c r="F473" s="60">
        <f>LN('Price Data'!F474/'Price Data'!F473)</f>
        <v>4.4829541364697304E-3</v>
      </c>
    </row>
    <row r="474" spans="1:6" x14ac:dyDescent="0.35">
      <c r="A474" s="2">
        <v>45260</v>
      </c>
      <c r="B474" s="60">
        <f>LN('Price Data'!B475/'Price Data'!B474)</f>
        <v>-9.7360829682128606E-3</v>
      </c>
      <c r="C474" s="60">
        <f>LN('Price Data'!C475/'Price Data'!C474)</f>
        <v>-7.4702064264222691E-3</v>
      </c>
      <c r="D474" s="60">
        <f>LN('Price Data'!D475/'Price Data'!D474)</f>
        <v>-4.9612008617883879E-3</v>
      </c>
      <c r="E474" s="60">
        <f>LN('Price Data'!E475/'Price Data'!E474)</f>
        <v>-3.0568507903417663E-3</v>
      </c>
      <c r="F474" s="60">
        <f>LN('Price Data'!F475/'Price Data'!F474)</f>
        <v>-3.2208486802281643E-3</v>
      </c>
    </row>
    <row r="475" spans="1:6" x14ac:dyDescent="0.35">
      <c r="A475" s="2">
        <v>45261</v>
      </c>
      <c r="B475" s="60">
        <f>LN('Price Data'!B476/'Price Data'!B475)</f>
        <v>7.0666340420356558E-3</v>
      </c>
      <c r="C475" s="60">
        <f>LN('Price Data'!C476/'Price Data'!C475)</f>
        <v>6.8724649561130542E-3</v>
      </c>
      <c r="D475" s="60">
        <f>LN('Price Data'!D476/'Price Data'!D475)</f>
        <v>1.248920121187626E-2</v>
      </c>
      <c r="E475" s="60">
        <f>LN('Price Data'!E476/'Price Data'!E475)</f>
        <v>-1.9576991189328443E-3</v>
      </c>
      <c r="F475" s="60">
        <f>LN('Price Data'!F476/'Price Data'!F475)</f>
        <v>3.1633475920070785E-2</v>
      </c>
    </row>
    <row r="476" spans="1:6" x14ac:dyDescent="0.35">
      <c r="A476" s="2">
        <v>45264</v>
      </c>
      <c r="B476" s="60">
        <f>LN('Price Data'!B477/'Price Data'!B476)</f>
        <v>1.075926881387915E-2</v>
      </c>
      <c r="C476" s="60">
        <f>LN('Price Data'!C477/'Price Data'!C476)</f>
        <v>2.2884277171247925E-4</v>
      </c>
      <c r="D476" s="60">
        <f>LN('Price Data'!D477/'Price Data'!D476)</f>
        <v>4.5934077180087053E-2</v>
      </c>
      <c r="E476" s="60">
        <f>LN('Price Data'!E477/'Price Data'!E476)</f>
        <v>8.261261341663946E-3</v>
      </c>
      <c r="F476" s="60">
        <f>LN('Price Data'!F477/'Price Data'!F476)</f>
        <v>9.4029182020865677E-3</v>
      </c>
    </row>
    <row r="477" spans="1:6" x14ac:dyDescent="0.35">
      <c r="A477" s="2">
        <v>45265</v>
      </c>
      <c r="B477" s="60">
        <f>LN('Price Data'!B478/'Price Data'!B477)</f>
        <v>7.2294034862325262E-3</v>
      </c>
      <c r="C477" s="60">
        <f>LN('Price Data'!C478/'Price Data'!C477)</f>
        <v>5.4367492963960755E-3</v>
      </c>
      <c r="D477" s="60">
        <f>LN('Price Data'!D478/'Price Data'!D477)</f>
        <v>2.2199300369040734E-2</v>
      </c>
      <c r="E477" s="60">
        <f>LN('Price Data'!E478/'Price Data'!E477)</f>
        <v>-7.1262974141037445E-3</v>
      </c>
      <c r="F477" s="60">
        <f>LN('Price Data'!F478/'Price Data'!F477)</f>
        <v>-5.0881192744979238E-3</v>
      </c>
    </row>
    <row r="478" spans="1:6" x14ac:dyDescent="0.35">
      <c r="A478" s="2">
        <v>45266</v>
      </c>
      <c r="B478" s="60">
        <f>LN('Price Data'!B479/'Price Data'!B478)</f>
        <v>9.5288196040003038E-3</v>
      </c>
      <c r="C478" s="60">
        <f>LN('Price Data'!C479/'Price Data'!C478)</f>
        <v>2.0322291326879158E-2</v>
      </c>
      <c r="D478" s="60">
        <f>LN('Price Data'!D479/'Price Data'!D478)</f>
        <v>-1.0115621536947375E-2</v>
      </c>
      <c r="E478" s="60">
        <f>LN('Price Data'!E479/'Price Data'!E478)</f>
        <v>1.3902086637772119E-2</v>
      </c>
      <c r="F478" s="60">
        <f>LN('Price Data'!F479/'Price Data'!F478)</f>
        <v>2.5139956153117274E-2</v>
      </c>
    </row>
    <row r="479" spans="1:6" x14ac:dyDescent="0.35">
      <c r="A479" s="2">
        <v>45267</v>
      </c>
      <c r="B479" s="60">
        <f>LN('Price Data'!B480/'Price Data'!B479)</f>
        <v>-1.6428912067496706E-3</v>
      </c>
      <c r="C479" s="60">
        <f>LN('Price Data'!C480/'Price Data'!C479)</f>
        <v>2.992051730401997E-3</v>
      </c>
      <c r="D479" s="60">
        <f>LN('Price Data'!D480/'Price Data'!D479)</f>
        <v>-4.2452304984725844E-3</v>
      </c>
      <c r="E479" s="60">
        <f>LN('Price Data'!E480/'Price Data'!E479)</f>
        <v>-5.7118972696426958E-3</v>
      </c>
      <c r="F479" s="60">
        <f>LN('Price Data'!F480/'Price Data'!F479)</f>
        <v>-1.1174838928313946E-2</v>
      </c>
    </row>
    <row r="480" spans="1:6" x14ac:dyDescent="0.35">
      <c r="A480" s="2">
        <v>45268</v>
      </c>
      <c r="B480" s="60">
        <f>LN('Price Data'!B481/'Price Data'!B480)</f>
        <v>-5.2922762500642255E-4</v>
      </c>
      <c r="C480" s="60">
        <f>LN('Price Data'!C481/'Price Data'!C480)</f>
        <v>3.2574041732421712E-3</v>
      </c>
      <c r="D480" s="60">
        <f>LN('Price Data'!D481/'Price Data'!D480)</f>
        <v>1.1792061411782092E-2</v>
      </c>
      <c r="E480" s="60">
        <f>LN('Price Data'!E481/'Price Data'!E480)</f>
        <v>1.7072457321668184E-2</v>
      </c>
      <c r="F480" s="60">
        <f>LN('Price Data'!F481/'Price Data'!F480)</f>
        <v>-1.9738019465688265E-2</v>
      </c>
    </row>
    <row r="481" spans="1:6" x14ac:dyDescent="0.35">
      <c r="A481" s="2">
        <v>45271</v>
      </c>
      <c r="B481" s="60">
        <f>LN('Price Data'!B482/'Price Data'!B481)</f>
        <v>1.4648678541932785E-3</v>
      </c>
      <c r="C481" s="60">
        <f>LN('Price Data'!C482/'Price Data'!C481)</f>
        <v>4.4582284904322901E-3</v>
      </c>
      <c r="D481" s="60">
        <f>LN('Price Data'!D482/'Price Data'!D481)</f>
        <v>6.1638795712148286E-3</v>
      </c>
      <c r="E481" s="60">
        <f>LN('Price Data'!E482/'Price Data'!E481)</f>
        <v>-1.7752582329859132E-3</v>
      </c>
      <c r="F481" s="60">
        <f>LN('Price Data'!F482/'Price Data'!F481)</f>
        <v>7.3160763412291469E-3</v>
      </c>
    </row>
    <row r="482" spans="1:6" x14ac:dyDescent="0.35">
      <c r="A482" s="2">
        <v>45272</v>
      </c>
      <c r="B482" s="60">
        <f>LN('Price Data'!B483/'Price Data'!B482)</f>
        <v>-1.4457333118506988E-2</v>
      </c>
      <c r="C482" s="60">
        <f>LN('Price Data'!C483/'Price Data'!C482)</f>
        <v>7.9821773420269485E-3</v>
      </c>
      <c r="D482" s="60">
        <f>LN('Price Data'!D483/'Price Data'!D482)</f>
        <v>-1.3774106860950602E-3</v>
      </c>
      <c r="E482" s="60">
        <f>LN('Price Data'!E483/'Price Data'!E482)</f>
        <v>-8.3991348394610085E-3</v>
      </c>
      <c r="F482" s="60">
        <f>LN('Price Data'!F483/'Price Data'!F482)</f>
        <v>1.4474823343036158E-3</v>
      </c>
    </row>
    <row r="483" spans="1:6" x14ac:dyDescent="0.35">
      <c r="A483" s="2">
        <v>45273</v>
      </c>
      <c r="B483" s="60">
        <f>LN('Price Data'!B484/'Price Data'!B483)</f>
        <v>4.0675231049139195E-3</v>
      </c>
      <c r="C483" s="60">
        <f>LN('Price Data'!C484/'Price Data'!C483)</f>
        <v>-2.1620998909768294E-2</v>
      </c>
      <c r="D483" s="60">
        <f>LN('Price Data'!D484/'Price Data'!D483)</f>
        <v>-1.7737489869214796E-3</v>
      </c>
      <c r="E483" s="60">
        <f>LN('Price Data'!E484/'Price Data'!E483)</f>
        <v>-1.8497017154745447E-2</v>
      </c>
      <c r="F483" s="60">
        <f>LN('Price Data'!F484/'Price Data'!F483)</f>
        <v>5.6066868596354449E-3</v>
      </c>
    </row>
    <row r="484" spans="1:6" x14ac:dyDescent="0.35">
      <c r="A484" s="2">
        <v>45274</v>
      </c>
      <c r="B484" s="60">
        <f>LN('Price Data'!B485/'Price Data'!B484)</f>
        <v>1.2331518758107863E-2</v>
      </c>
      <c r="C484" s="60">
        <f>LN('Price Data'!C485/'Price Data'!C484)</f>
        <v>2.0301444957433582E-2</v>
      </c>
      <c r="D484" s="60">
        <f>LN('Price Data'!D485/'Price Data'!D484)</f>
        <v>1.9291946512792608E-2</v>
      </c>
      <c r="E484" s="60">
        <f>LN('Price Data'!E485/'Price Data'!E484)</f>
        <v>3.5560271846071821E-2</v>
      </c>
      <c r="F484" s="60">
        <f>LN('Price Data'!F485/'Price Data'!F484)</f>
        <v>9.7194610299870775E-3</v>
      </c>
    </row>
    <row r="485" spans="1:6" x14ac:dyDescent="0.35">
      <c r="A485" s="2">
        <v>45275</v>
      </c>
      <c r="B485" s="60">
        <f>LN('Price Data'!B486/'Price Data'!B485)</f>
        <v>1.2686319015494451E-2</v>
      </c>
      <c r="C485" s="60">
        <f>LN('Price Data'!C486/'Price Data'!C485)</f>
        <v>5.1482436960731418E-2</v>
      </c>
      <c r="D485" s="60">
        <f>LN('Price Data'!D486/'Price Data'!D485)</f>
        <v>3.6213554459732706E-3</v>
      </c>
      <c r="E485" s="60">
        <f>LN('Price Data'!E486/'Price Data'!E485)</f>
        <v>4.9981015411700767E-2</v>
      </c>
      <c r="F485" s="60">
        <f>LN('Price Data'!F486/'Price Data'!F485)</f>
        <v>-4.144033925664971E-3</v>
      </c>
    </row>
    <row r="486" spans="1:6" x14ac:dyDescent="0.35">
      <c r="A486" s="2">
        <v>45278</v>
      </c>
      <c r="B486" s="60">
        <f>LN('Price Data'!B487/'Price Data'!B486)</f>
        <v>1.0126466951288646E-2</v>
      </c>
      <c r="C486" s="60">
        <f>LN('Price Data'!C487/'Price Data'!C486)</f>
        <v>-4.6586741319285695E-4</v>
      </c>
      <c r="D486" s="60">
        <f>LN('Price Data'!D487/'Price Data'!D486)</f>
        <v>-1.5494396483637433E-2</v>
      </c>
      <c r="E486" s="60">
        <f>LN('Price Data'!E487/'Price Data'!E486)</f>
        <v>-8.9468588631523311E-3</v>
      </c>
      <c r="F486" s="60">
        <f>LN('Price Data'!F487/'Price Data'!F486)</f>
        <v>-1.4383387859571396E-2</v>
      </c>
    </row>
    <row r="487" spans="1:6" x14ac:dyDescent="0.35">
      <c r="A487" s="2">
        <v>45279</v>
      </c>
      <c r="B487" s="60">
        <f>LN('Price Data'!B488/'Price Data'!B487)</f>
        <v>1.4609147228193738E-2</v>
      </c>
      <c r="C487" s="60">
        <f>LN('Price Data'!C488/'Price Data'!C487)</f>
        <v>-1.1204305692615827E-2</v>
      </c>
      <c r="D487" s="60">
        <f>LN('Price Data'!D488/'Price Data'!D487)</f>
        <v>-5.8913224545437508E-3</v>
      </c>
      <c r="E487" s="60">
        <f>LN('Price Data'!E488/'Price Data'!E487)</f>
        <v>-3.8709933528363986E-3</v>
      </c>
      <c r="F487" s="60">
        <f>LN('Price Data'!F488/'Price Data'!F487)</f>
        <v>9.8050276065437848E-3</v>
      </c>
    </row>
    <row r="488" spans="1:6" x14ac:dyDescent="0.35">
      <c r="A488" s="2">
        <v>45280</v>
      </c>
      <c r="B488" s="60">
        <f>LN('Price Data'!B489/'Price Data'!B488)</f>
        <v>-1.2176566900484916E-2</v>
      </c>
      <c r="C488" s="60">
        <f>LN('Price Data'!C489/'Price Data'!C488)</f>
        <v>-9.5170545418899188E-3</v>
      </c>
      <c r="D488" s="60">
        <f>LN('Price Data'!D489/'Price Data'!D488)</f>
        <v>-8.7038777067608205E-3</v>
      </c>
      <c r="E488" s="60">
        <f>LN('Price Data'!E489/'Price Data'!E488)</f>
        <v>-1.4155226344087829E-2</v>
      </c>
      <c r="F488" s="60">
        <f>LN('Price Data'!F489/'Price Data'!F488)</f>
        <v>-1.1257154524634558E-2</v>
      </c>
    </row>
    <row r="489" spans="1:6" x14ac:dyDescent="0.35">
      <c r="A489" s="2">
        <v>45281</v>
      </c>
      <c r="B489" s="60">
        <f>LN('Price Data'!B490/'Price Data'!B489)</f>
        <v>1.3918530291062938E-2</v>
      </c>
      <c r="C489" s="60">
        <f>LN('Price Data'!C490/'Price Data'!C489)</f>
        <v>1.9674357338310094E-3</v>
      </c>
      <c r="D489" s="60">
        <f>LN('Price Data'!D490/'Price Data'!D489)</f>
        <v>-2.2376379889280655E-3</v>
      </c>
      <c r="E489" s="60">
        <f>LN('Price Data'!E490/'Price Data'!E489)</f>
        <v>-2.6185036710461862E-4</v>
      </c>
      <c r="F489" s="60">
        <f>LN('Price Data'!F490/'Price Data'!F489)</f>
        <v>1.0073443275077341E-3</v>
      </c>
    </row>
    <row r="490" spans="1:6" x14ac:dyDescent="0.35">
      <c r="A490" s="2">
        <v>45282</v>
      </c>
      <c r="B490" s="60">
        <f>LN('Price Data'!B491/'Price Data'!B490)</f>
        <v>9.7511133745957967E-4</v>
      </c>
      <c r="C490" s="60">
        <f>LN('Price Data'!C491/'Price Data'!C490)</f>
        <v>9.5903929063344533E-3</v>
      </c>
      <c r="D490" s="60">
        <f>LN('Price Data'!D491/'Price Data'!D490)</f>
        <v>-1.0106655297402121E-2</v>
      </c>
      <c r="E490" s="60">
        <f>LN('Price Data'!E491/'Price Data'!E490)</f>
        <v>1.7361941600420976E-2</v>
      </c>
      <c r="F490" s="60">
        <f>LN('Price Data'!F491/'Price Data'!F490)</f>
        <v>8.2779034208929486E-3</v>
      </c>
    </row>
    <row r="491" spans="1:6" x14ac:dyDescent="0.35">
      <c r="A491" s="2">
        <v>45286</v>
      </c>
      <c r="B491" s="60">
        <f>LN('Price Data'!B492/'Price Data'!B491)</f>
        <v>5.0553079398515752E-3</v>
      </c>
      <c r="C491" s="60">
        <f>LN('Price Data'!C492/'Price Data'!C491)</f>
        <v>-7.467995258511528E-3</v>
      </c>
      <c r="D491" s="60">
        <f>LN('Price Data'!D492/'Price Data'!D491)</f>
        <v>8.0426263508856684E-4</v>
      </c>
      <c r="E491" s="60">
        <f>LN('Price Data'!E492/'Price Data'!E491)</f>
        <v>-1.2196536294961133E-2</v>
      </c>
      <c r="F491" s="60">
        <f>LN('Price Data'!F492/'Price Data'!F491)</f>
        <v>2.7364239513971902E-3</v>
      </c>
    </row>
    <row r="492" spans="1:6" x14ac:dyDescent="0.35">
      <c r="A492" s="2">
        <v>45287</v>
      </c>
      <c r="B492" s="60">
        <f>LN('Price Data'!B493/'Price Data'!B492)</f>
        <v>3.4076069001291892E-3</v>
      </c>
      <c r="C492" s="60">
        <f>LN('Price Data'!C493/'Price Data'!C492)</f>
        <v>4.1153517164591617E-3</v>
      </c>
      <c r="D492" s="60">
        <f>LN('Price Data'!D493/'Price Data'!D492)</f>
        <v>7.1595169014998135E-3</v>
      </c>
      <c r="E492" s="60">
        <f>LN('Price Data'!E493/'Price Data'!E492)</f>
        <v>1.4882516203487649E-2</v>
      </c>
      <c r="F492" s="60">
        <f>LN('Price Data'!F493/'Price Data'!F492)</f>
        <v>1.4116614820130545E-3</v>
      </c>
    </row>
    <row r="493" spans="1:6" x14ac:dyDescent="0.35">
      <c r="A493" s="2">
        <v>45288</v>
      </c>
      <c r="B493" s="60">
        <f>LN('Price Data'!B494/'Price Data'!B493)</f>
        <v>7.2028383095489989E-3</v>
      </c>
      <c r="C493" s="60">
        <f>LN('Price Data'!C494/'Price Data'!C493)</f>
        <v>-2.9672672246684188E-3</v>
      </c>
      <c r="D493" s="60">
        <f>LN('Price Data'!D494/'Price Data'!D493)</f>
        <v>3.6351906176761957E-3</v>
      </c>
      <c r="E493" s="60">
        <f>LN('Price Data'!E494/'Price Data'!E493)</f>
        <v>-2.8468535169145796E-3</v>
      </c>
      <c r="F493" s="60">
        <f>LN('Price Data'!F494/'Price Data'!F493)</f>
        <v>1.521596364159996E-2</v>
      </c>
    </row>
    <row r="494" spans="1:6" x14ac:dyDescent="0.35">
      <c r="A494" s="2">
        <v>45289</v>
      </c>
      <c r="B494" s="60">
        <f>LN('Price Data'!B495/'Price Data'!B494)</f>
        <v>-7.9453264522483281E-3</v>
      </c>
      <c r="C494" s="60">
        <f>LN('Price Data'!C495/'Price Data'!C494)</f>
        <v>-1.7120278741140527E-3</v>
      </c>
      <c r="D494" s="60">
        <f>LN('Price Data'!D495/'Price Data'!D494)</f>
        <v>-9.2884562929883632E-3</v>
      </c>
      <c r="E494" s="60">
        <f>LN('Price Data'!E495/'Price Data'!E494)</f>
        <v>-1.2719802082219988E-2</v>
      </c>
      <c r="F494" s="60">
        <f>LN('Price Data'!F495/'Price Data'!F494)</f>
        <v>-4.336916179104644E-3</v>
      </c>
    </row>
    <row r="495" spans="1:6" x14ac:dyDescent="0.35">
      <c r="A495" s="2">
        <v>45292</v>
      </c>
      <c r="B495" s="60">
        <f>LN('Price Data'!B496/'Price Data'!B495)</f>
        <v>2.0559599141896888E-3</v>
      </c>
      <c r="C495" s="60">
        <f>LN('Price Data'!C496/'Price Data'!C495)</f>
        <v>4.6529347047457766E-3</v>
      </c>
      <c r="D495" s="60">
        <f>LN('Price Data'!D496/'Price Data'!D495)</f>
        <v>2.8056130628004209E-3</v>
      </c>
      <c r="E495" s="60">
        <f>LN('Price Data'!E496/'Price Data'!E495)</f>
        <v>5.4665368457379225E-3</v>
      </c>
      <c r="F495" s="60">
        <f>LN('Price Data'!F496/'Price Data'!F495)</f>
        <v>1.2796647069179014E-2</v>
      </c>
    </row>
    <row r="496" spans="1:6" x14ac:dyDescent="0.35">
      <c r="A496" s="2">
        <v>45293</v>
      </c>
      <c r="B496" s="60">
        <f>LN('Price Data'!B497/'Price Data'!B496)</f>
        <v>8.2430935268032468E-3</v>
      </c>
      <c r="C496" s="60">
        <f>LN('Price Data'!C497/'Price Data'!C496)</f>
        <v>-7.347303357397755E-3</v>
      </c>
      <c r="D496" s="60">
        <f>LN('Price Data'!D497/'Price Data'!D496)</f>
        <v>-1.7309240471535516E-2</v>
      </c>
      <c r="E496" s="60">
        <f>LN('Price Data'!E497/'Price Data'!E496)</f>
        <v>-1.0989336458815335E-2</v>
      </c>
      <c r="F496" s="60">
        <f>LN('Price Data'!F497/'Price Data'!F496)</f>
        <v>4.911357789575849E-3</v>
      </c>
    </row>
    <row r="497" spans="1:6" x14ac:dyDescent="0.35">
      <c r="A497" s="2">
        <v>45294</v>
      </c>
      <c r="B497" s="60">
        <f>LN('Price Data'!B498/'Price Data'!B497)</f>
        <v>-1.0933698912196166E-2</v>
      </c>
      <c r="C497" s="60">
        <f>LN('Price Data'!C498/'Price Data'!C497)</f>
        <v>-2.4470105314819864E-2</v>
      </c>
      <c r="D497" s="60">
        <f>LN('Price Data'!D498/'Price Data'!D497)</f>
        <v>1.8308503308770536E-3</v>
      </c>
      <c r="E497" s="60">
        <f>LN('Price Data'!E498/'Price Data'!E497)</f>
        <v>-2.9362531033425225E-2</v>
      </c>
      <c r="F497" s="60">
        <f>LN('Price Data'!F498/'Price Data'!F497)</f>
        <v>1.4546684601771012E-2</v>
      </c>
    </row>
    <row r="498" spans="1:6" x14ac:dyDescent="0.35">
      <c r="A498" s="2">
        <v>45295</v>
      </c>
      <c r="B498" s="60">
        <f>LN('Price Data'!B499/'Price Data'!B498)</f>
        <v>5.1506501973425482E-3</v>
      </c>
      <c r="C498" s="60">
        <f>LN('Price Data'!C499/'Price Data'!C498)</f>
        <v>-6.7799091319970979E-3</v>
      </c>
      <c r="D498" s="60">
        <f>LN('Price Data'!D499/'Price Data'!D498)</f>
        <v>3.1452948007914248E-3</v>
      </c>
      <c r="E498" s="60">
        <f>LN('Price Data'!E499/'Price Data'!E498)</f>
        <v>1.511815978544819E-2</v>
      </c>
      <c r="F498" s="60">
        <f>LN('Price Data'!F499/'Price Data'!F498)</f>
        <v>-1.7735217914604394E-3</v>
      </c>
    </row>
    <row r="499" spans="1:6" x14ac:dyDescent="0.35">
      <c r="A499" s="2">
        <v>45296</v>
      </c>
      <c r="B499" s="60">
        <f>LN('Price Data'!B500/'Price Data'!B499)</f>
        <v>4.2503051875896498E-3</v>
      </c>
      <c r="C499" s="60">
        <f>LN('Price Data'!C500/'Price Data'!C499)</f>
        <v>1.9204041748970731E-2</v>
      </c>
      <c r="D499" s="60">
        <f>LN('Price Data'!D500/'Price Data'!D499)</f>
        <v>6.6133466670799911E-3</v>
      </c>
      <c r="E499" s="60">
        <f>LN('Price Data'!E500/'Price Data'!E499)</f>
        <v>1.3037718774828613E-2</v>
      </c>
      <c r="F499" s="60">
        <f>LN('Price Data'!F500/'Price Data'!F499)</f>
        <v>-5.1610721430705702E-3</v>
      </c>
    </row>
    <row r="500" spans="1:6" x14ac:dyDescent="0.35">
      <c r="A500" s="2">
        <v>45299</v>
      </c>
      <c r="B500" s="60">
        <f>LN('Price Data'!B501/'Price Data'!B500)</f>
        <v>-7.830555925527595E-3</v>
      </c>
      <c r="C500" s="60">
        <f>LN('Price Data'!C501/'Price Data'!C500)</f>
        <v>-1.6071871276740271E-2</v>
      </c>
      <c r="D500" s="60">
        <f>LN('Price Data'!D501/'Price Data'!D500)</f>
        <v>-1.1844041882851807E-2</v>
      </c>
      <c r="E500" s="60">
        <f>LN('Price Data'!E501/'Price Data'!E500)</f>
        <v>-6.3787355504708893E-3</v>
      </c>
      <c r="F500" s="60">
        <f>LN('Price Data'!F501/'Price Data'!F500)</f>
        <v>-1.7981198515643088E-2</v>
      </c>
    </row>
    <row r="501" spans="1:6" x14ac:dyDescent="0.35">
      <c r="A501" s="2">
        <v>45300</v>
      </c>
      <c r="B501" s="60">
        <f>LN('Price Data'!B502/'Price Data'!B501)</f>
        <v>-2.6548722408518593E-3</v>
      </c>
      <c r="C501" s="60">
        <f>LN('Price Data'!C502/'Price Data'!C501)</f>
        <v>3.1468948363513874E-3</v>
      </c>
      <c r="D501" s="60">
        <f>LN('Price Data'!D502/'Price Data'!D501)</f>
        <v>-2.2938712747250143E-3</v>
      </c>
      <c r="E501" s="60">
        <f>LN('Price Data'!E502/'Price Data'!E501)</f>
        <v>4.2570080762683541E-3</v>
      </c>
      <c r="F501" s="60">
        <f>LN('Price Data'!F502/'Price Data'!F501)</f>
        <v>-2.0458272274632388E-3</v>
      </c>
    </row>
    <row r="502" spans="1:6" x14ac:dyDescent="0.35">
      <c r="A502" s="2">
        <v>45301</v>
      </c>
      <c r="B502" s="60">
        <f>LN('Price Data'!B503/'Price Data'!B502)</f>
        <v>2.661419652856337E-2</v>
      </c>
      <c r="C502" s="60">
        <f>LN('Price Data'!C503/'Price Data'!C502)</f>
        <v>6.2561187435930341E-3</v>
      </c>
      <c r="D502" s="60">
        <f>LN('Price Data'!D503/'Price Data'!D502)</f>
        <v>1.3483578165059611E-2</v>
      </c>
      <c r="E502" s="60">
        <f>LN('Price Data'!E503/'Price Data'!E502)</f>
        <v>-6.1673419740364156E-3</v>
      </c>
      <c r="F502" s="60">
        <f>LN('Price Data'!F503/'Price Data'!F502)</f>
        <v>-2.688663668526655E-3</v>
      </c>
    </row>
    <row r="503" spans="1:6" x14ac:dyDescent="0.35">
      <c r="A503" s="2">
        <v>45302</v>
      </c>
      <c r="B503" s="60">
        <f>LN('Price Data'!B504/'Price Data'!B503)</f>
        <v>2.5960973057513412E-2</v>
      </c>
      <c r="C503" s="60">
        <f>LN('Price Data'!C504/'Price Data'!C503)</f>
        <v>6.0397391678633549E-3</v>
      </c>
      <c r="D503" s="60">
        <f>LN('Price Data'!D504/'Price Data'!D503)</f>
        <v>-1.9151301085806127E-3</v>
      </c>
      <c r="E503" s="60">
        <f>LN('Price Data'!E504/'Price Data'!E503)</f>
        <v>-1.7049602078055153E-2</v>
      </c>
      <c r="F503" s="60">
        <f>LN('Price Data'!F504/'Price Data'!F503)</f>
        <v>-1.4155899893478149E-3</v>
      </c>
    </row>
    <row r="504" spans="1:6" x14ac:dyDescent="0.35">
      <c r="A504" s="2">
        <v>45303</v>
      </c>
      <c r="B504" s="60">
        <f>LN('Price Data'!B505/'Price Data'!B504)</f>
        <v>7.9249816008204865E-3</v>
      </c>
      <c r="C504" s="60">
        <f>LN('Price Data'!C505/'Price Data'!C504)</f>
        <v>3.8661267717029511E-2</v>
      </c>
      <c r="D504" s="60">
        <f>LN('Price Data'!D505/'Price Data'!D504)</f>
        <v>1.2383283100172931E-2</v>
      </c>
      <c r="E504" s="60">
        <f>LN('Price Data'!E505/'Price Data'!E504)</f>
        <v>7.6346156418856725E-2</v>
      </c>
      <c r="F504" s="60">
        <f>LN('Price Data'!F505/'Price Data'!F504)</f>
        <v>8.7128182921008008E-3</v>
      </c>
    </row>
    <row r="505" spans="1:6" x14ac:dyDescent="0.35">
      <c r="A505" s="2">
        <v>45306</v>
      </c>
      <c r="B505" s="60">
        <f>LN('Price Data'!B506/'Price Data'!B505)</f>
        <v>1.6934415571510025E-2</v>
      </c>
      <c r="C505" s="60">
        <f>LN('Price Data'!C506/'Price Data'!C505)</f>
        <v>5.39566173583693E-3</v>
      </c>
      <c r="D505" s="60">
        <f>LN('Price Data'!D506/'Price Data'!D505)</f>
        <v>6.3079157180046279E-3</v>
      </c>
      <c r="E505" s="60">
        <f>LN('Price Data'!E506/'Price Data'!E505)</f>
        <v>2.4106756383433823E-2</v>
      </c>
      <c r="F505" s="60">
        <f>LN('Price Data'!F506/'Price Data'!F505)</f>
        <v>1.946010163144512E-3</v>
      </c>
    </row>
    <row r="506" spans="1:6" x14ac:dyDescent="0.35">
      <c r="A506" s="2">
        <v>45307</v>
      </c>
      <c r="B506" s="60">
        <f>LN('Price Data'!B507/'Price Data'!B506)</f>
        <v>-1.4085960807117978E-2</v>
      </c>
      <c r="C506" s="60">
        <f>LN('Price Data'!C507/'Price Data'!C506)</f>
        <v>-1.0948074818449359E-2</v>
      </c>
      <c r="D506" s="60">
        <f>LN('Price Data'!D507/'Price Data'!D506)</f>
        <v>-7.9251081467298626E-4</v>
      </c>
      <c r="E506" s="60">
        <f>LN('Price Data'!E507/'Price Data'!E506)</f>
        <v>-1.2513753373021397E-2</v>
      </c>
      <c r="F506" s="60">
        <f>LN('Price Data'!F507/'Price Data'!F506)</f>
        <v>9.9870369878864926E-3</v>
      </c>
    </row>
    <row r="507" spans="1:6" x14ac:dyDescent="0.35">
      <c r="A507" s="2">
        <v>45308</v>
      </c>
      <c r="B507" s="60">
        <f>LN('Price Data'!B508/'Price Data'!B507)</f>
        <v>-9.5461583062119125E-3</v>
      </c>
      <c r="C507" s="60">
        <f>LN('Price Data'!C508/'Price Data'!C507)</f>
        <v>6.0154497056997261E-3</v>
      </c>
      <c r="D507" s="60">
        <f>LN('Price Data'!D508/'Price Data'!D507)</f>
        <v>-2.7427879681605458E-2</v>
      </c>
      <c r="E507" s="60">
        <f>LN('Price Data'!E508/'Price Data'!E507)</f>
        <v>5.2867567241106821E-3</v>
      </c>
      <c r="F507" s="60">
        <f>LN('Price Data'!F508/'Price Data'!F507)</f>
        <v>-1.213691844099638E-2</v>
      </c>
    </row>
    <row r="508" spans="1:6" x14ac:dyDescent="0.35">
      <c r="A508" s="2">
        <v>45309</v>
      </c>
      <c r="B508" s="60">
        <f>LN('Price Data'!B509/'Price Data'!B508)</f>
        <v>4.6748231330225841E-3</v>
      </c>
      <c r="C508" s="60">
        <f>LN('Price Data'!C509/'Price Data'!C508)</f>
        <v>4.6237607017693364E-3</v>
      </c>
      <c r="D508" s="60">
        <f>LN('Price Data'!D509/'Price Data'!D508)</f>
        <v>4.6745677317589201E-3</v>
      </c>
      <c r="E508" s="60">
        <f>LN('Price Data'!E509/'Price Data'!E508)</f>
        <v>1.4642771141094402E-3</v>
      </c>
      <c r="F508" s="60">
        <f>LN('Price Data'!F509/'Price Data'!F508)</f>
        <v>-2.3588661167977137E-3</v>
      </c>
    </row>
    <row r="509" spans="1:6" x14ac:dyDescent="0.35">
      <c r="A509" s="2">
        <v>45310</v>
      </c>
      <c r="B509" s="60">
        <f>LN('Price Data'!B510/'Price Data'!B509)</f>
        <v>-3.6557725054372565E-4</v>
      </c>
      <c r="C509" s="60">
        <f>LN('Price Data'!C510/'Price Data'!C509)</f>
        <v>1.4934517099170081E-2</v>
      </c>
      <c r="D509" s="60">
        <f>LN('Price Data'!D510/'Price Data'!D509)</f>
        <v>1.2943697621490023E-2</v>
      </c>
      <c r="E509" s="60">
        <f>LN('Price Data'!E510/'Price Data'!E509)</f>
        <v>1.0050948073223327E-2</v>
      </c>
      <c r="F509" s="60">
        <f>LN('Price Data'!F510/'Price Data'!F509)</f>
        <v>1.2815770722540932E-2</v>
      </c>
    </row>
    <row r="510" spans="1:6" x14ac:dyDescent="0.35">
      <c r="A510" s="2">
        <v>45311</v>
      </c>
      <c r="B510" s="60">
        <f>LN('Price Data'!B511/'Price Data'!B510)</f>
        <v>-7.9292658756082279E-3</v>
      </c>
      <c r="C510" s="60">
        <f>LN('Price Data'!C511/'Price Data'!C510)</f>
        <v>-2.1118972432583941E-2</v>
      </c>
      <c r="D510" s="60">
        <f>LN('Price Data'!D511/'Price Data'!D510)</f>
        <v>9.4626932494218975E-3</v>
      </c>
      <c r="E510" s="60">
        <f>LN('Price Data'!E511/'Price Data'!E510)</f>
        <v>-6.3660479603542977E-4</v>
      </c>
      <c r="F510" s="60">
        <f>LN('Price Data'!F511/'Price Data'!F510)</f>
        <v>4.8891578363769762E-2</v>
      </c>
    </row>
    <row r="511" spans="1:6" x14ac:dyDescent="0.35">
      <c r="A511" s="2">
        <v>45314</v>
      </c>
      <c r="B511" s="60">
        <f>LN('Price Data'!B512/'Price Data'!B511)</f>
        <v>-2.0915249864145967E-2</v>
      </c>
      <c r="C511" s="60">
        <f>LN('Price Data'!C512/'Price Data'!C511)</f>
        <v>-6.2185028367758193E-4</v>
      </c>
      <c r="D511" s="60">
        <f>LN('Price Data'!D512/'Price Data'!D511)</f>
        <v>1.9973673457679419E-2</v>
      </c>
      <c r="E511" s="60">
        <f>LN('Price Data'!E512/'Price Data'!E511)</f>
        <v>-9.6898801932239851E-3</v>
      </c>
      <c r="F511" s="60">
        <f>LN('Price Data'!F512/'Price Data'!F511)</f>
        <v>-7.5126687018115548E-2</v>
      </c>
    </row>
    <row r="512" spans="1:6" x14ac:dyDescent="0.35">
      <c r="A512" s="2">
        <v>45315</v>
      </c>
      <c r="B512" s="60">
        <f>LN('Price Data'!B513/'Price Data'!B512)</f>
        <v>1.1457776565963817E-2</v>
      </c>
      <c r="C512" s="60">
        <f>LN('Price Data'!C513/'Price Data'!C512)</f>
        <v>-4.2727060281292804E-3</v>
      </c>
      <c r="D512" s="60">
        <f>LN('Price Data'!D513/'Price Data'!D512)</f>
        <v>-2.9436366707101133E-2</v>
      </c>
      <c r="E512" s="60">
        <f>LN('Price Data'!E513/'Price Data'!E512)</f>
        <v>2.0043351101594765E-2</v>
      </c>
      <c r="F512" s="60">
        <f>LN('Price Data'!F513/'Price Data'!F512)</f>
        <v>9.323489486187473E-3</v>
      </c>
    </row>
    <row r="513" spans="1:6" x14ac:dyDescent="0.35">
      <c r="A513" s="2">
        <v>45316</v>
      </c>
      <c r="B513" s="60">
        <f>LN('Price Data'!B514/'Price Data'!B513)</f>
        <v>6.8151323308843232E-3</v>
      </c>
      <c r="C513" s="60">
        <f>LN('Price Data'!C514/'Price Data'!C513)</f>
        <v>-8.2330805744280106E-3</v>
      </c>
      <c r="D513" s="60">
        <f>LN('Price Data'!D514/'Price Data'!D513)</f>
        <v>1.0701144848031592E-2</v>
      </c>
      <c r="E513" s="60">
        <f>LN('Price Data'!E514/'Price Data'!E513)</f>
        <v>-3.7645575104652616E-3</v>
      </c>
      <c r="F513" s="60">
        <f>LN('Price Data'!F514/'Price Data'!F513)</f>
        <v>-1.729534153570015E-2</v>
      </c>
    </row>
    <row r="514" spans="1:6" x14ac:dyDescent="0.35">
      <c r="A514" s="2">
        <v>45320</v>
      </c>
      <c r="B514" s="60">
        <f>LN('Price Data'!B515/'Price Data'!B514)</f>
        <v>6.7841739022754977E-2</v>
      </c>
      <c r="C514" s="60">
        <f>LN('Price Data'!C515/'Price Data'!C514)</f>
        <v>-2.4437361891348069E-3</v>
      </c>
      <c r="D514" s="60">
        <f>LN('Price Data'!D515/'Price Data'!D514)</f>
        <v>6.3661477866093592E-3</v>
      </c>
      <c r="E514" s="60">
        <f>LN('Price Data'!E515/'Price Data'!E514)</f>
        <v>-7.5172636406924606E-3</v>
      </c>
      <c r="F514" s="60">
        <f>LN('Price Data'!F515/'Price Data'!F514)</f>
        <v>-1.2912142221871909E-2</v>
      </c>
    </row>
    <row r="515" spans="1:6" x14ac:dyDescent="0.35">
      <c r="A515" s="2">
        <v>45321</v>
      </c>
      <c r="B515" s="60">
        <f>LN('Price Data'!B516/'Price Data'!B515)</f>
        <v>-2.8310384642952456E-2</v>
      </c>
      <c r="C515" s="60">
        <f>LN('Price Data'!C516/'Price Data'!C515)</f>
        <v>-1.1839690603239722E-4</v>
      </c>
      <c r="D515" s="60">
        <f>LN('Price Data'!D516/'Price Data'!D515)</f>
        <v>4.9181135108262932E-4</v>
      </c>
      <c r="E515" s="60">
        <f>LN('Price Data'!E516/'Price Data'!E515)</f>
        <v>-3.1190080947068911E-3</v>
      </c>
      <c r="F515" s="60">
        <f>LN('Price Data'!F516/'Price Data'!F515)</f>
        <v>-2.648025948878889E-2</v>
      </c>
    </row>
    <row r="516" spans="1:6" x14ac:dyDescent="0.35">
      <c r="A516" s="2">
        <v>45322</v>
      </c>
      <c r="B516" s="60">
        <f>LN('Price Data'!B517/'Price Data'!B516)</f>
        <v>1.3407580549589343E-2</v>
      </c>
      <c r="C516" s="60">
        <f>LN('Price Data'!C517/'Price Data'!C516)</f>
        <v>4.0438576737524389E-3</v>
      </c>
      <c r="D516" s="60">
        <f>LN('Price Data'!D517/'Price Data'!D516)</f>
        <v>1.1002286970435858E-2</v>
      </c>
      <c r="E516" s="60">
        <f>LN('Price Data'!E517/'Price Data'!E516)</f>
        <v>5.7077433949330649E-3</v>
      </c>
      <c r="F516" s="60">
        <f>LN('Price Data'!F517/'Price Data'!F516)</f>
        <v>7.9557208985284369E-3</v>
      </c>
    </row>
    <row r="517" spans="1:6" x14ac:dyDescent="0.35">
      <c r="A517" s="2">
        <v>45323</v>
      </c>
      <c r="B517" s="60">
        <f>LN('Price Data'!B518/'Price Data'!B517)</f>
        <v>1.4018953625588798E-5</v>
      </c>
      <c r="C517" s="60">
        <f>LN('Price Data'!C518/'Price Data'!C517)</f>
        <v>9.9608390619278595E-3</v>
      </c>
      <c r="D517" s="60">
        <f>LN('Price Data'!D518/'Price Data'!D517)</f>
        <v>-2.9221274384716427E-3</v>
      </c>
      <c r="E517" s="60">
        <f>LN('Price Data'!E518/'Price Data'!E517)</f>
        <v>-2.3216704625803495E-3</v>
      </c>
      <c r="F517" s="60">
        <f>LN('Price Data'!F518/'Price Data'!F517)</f>
        <v>3.0596414450814696E-3</v>
      </c>
    </row>
    <row r="518" spans="1:6" x14ac:dyDescent="0.35">
      <c r="A518" s="2">
        <v>45324</v>
      </c>
      <c r="B518" s="60">
        <f>LN('Price Data'!B519/'Price Data'!B518)</f>
        <v>2.1530812483462849E-2</v>
      </c>
      <c r="C518" s="60">
        <f>LN('Price Data'!C519/'Price Data'!C518)</f>
        <v>2.8683180365264078E-2</v>
      </c>
      <c r="D518" s="60">
        <f>LN('Price Data'!D519/'Price Data'!D518)</f>
        <v>-1.1224167296027304E-3</v>
      </c>
      <c r="E518" s="60">
        <f>LN('Price Data'!E519/'Price Data'!E518)</f>
        <v>2.1671987158187592E-2</v>
      </c>
      <c r="F518" s="60">
        <f>LN('Price Data'!F519/'Price Data'!F518)</f>
        <v>-6.3448191493708306E-3</v>
      </c>
    </row>
    <row r="519" spans="1:6" x14ac:dyDescent="0.35">
      <c r="A519" s="2">
        <v>45327</v>
      </c>
      <c r="B519" s="60">
        <f>LN('Price Data'!B520/'Price Data'!B519)</f>
        <v>-1.2890575598932032E-2</v>
      </c>
      <c r="C519" s="60">
        <f>LN('Price Data'!C520/'Price Data'!C519)</f>
        <v>1.7633134701353459E-3</v>
      </c>
      <c r="D519" s="60">
        <f>LN('Price Data'!D520/'Price Data'!D519)</f>
        <v>-4.8840049810887451E-4</v>
      </c>
      <c r="E519" s="60">
        <f>LN('Price Data'!E520/'Price Data'!E519)</f>
        <v>-3.6411272974062312E-3</v>
      </c>
      <c r="F519" s="60">
        <f>LN('Price Data'!F520/'Price Data'!F519)</f>
        <v>-4.670543194239235E-3</v>
      </c>
    </row>
    <row r="520" spans="1:6" x14ac:dyDescent="0.35">
      <c r="A520" s="2">
        <v>45328</v>
      </c>
      <c r="B520" s="60">
        <f>LN('Price Data'!B521/'Price Data'!B520)</f>
        <v>-7.83447741267497E-3</v>
      </c>
      <c r="C520" s="60">
        <f>LN('Price Data'!C521/'Price Data'!C520)</f>
        <v>4.0132153533968901E-2</v>
      </c>
      <c r="D520" s="60">
        <f>LN('Price Data'!D521/'Price Data'!D520)</f>
        <v>2.8294082000825133E-3</v>
      </c>
      <c r="E520" s="60">
        <f>LN('Price Data'!E521/'Price Data'!E520)</f>
        <v>2.4737096530876749E-2</v>
      </c>
      <c r="F520" s="60">
        <f>LN('Price Data'!F521/'Price Data'!F520)</f>
        <v>-1.5294945035637702E-2</v>
      </c>
    </row>
    <row r="521" spans="1:6" x14ac:dyDescent="0.35">
      <c r="A521" s="2">
        <v>45329</v>
      </c>
      <c r="B521" s="60">
        <f>LN('Price Data'!B522/'Price Data'!B521)</f>
        <v>1.0000257558002192E-2</v>
      </c>
      <c r="C521" s="60">
        <f>LN('Price Data'!C522/'Price Data'!C521)</f>
        <v>-1.27991624861658E-2</v>
      </c>
      <c r="D521" s="60">
        <f>LN('Price Data'!D522/'Price Data'!D521)</f>
        <v>-4.1492822704098853E-3</v>
      </c>
      <c r="E521" s="60">
        <f>LN('Price Data'!E522/'Price Data'!E521)</f>
        <v>-2.0858448003894001E-2</v>
      </c>
      <c r="F521" s="60">
        <f>LN('Price Data'!F522/'Price Data'!F521)</f>
        <v>9.3068828662514597E-4</v>
      </c>
    </row>
    <row r="522" spans="1:6" x14ac:dyDescent="0.35">
      <c r="A522" s="2">
        <v>45330</v>
      </c>
      <c r="B522" s="60">
        <f>LN('Price Data'!B523/'Price Data'!B522)</f>
        <v>5.5181519418868417E-3</v>
      </c>
      <c r="C522" s="60">
        <f>LN('Price Data'!C523/'Price Data'!C522)</f>
        <v>1.2339675893880691E-2</v>
      </c>
      <c r="D522" s="60">
        <f>LN('Price Data'!D523/'Price Data'!D522)</f>
        <v>-3.2665908701839927E-2</v>
      </c>
      <c r="E522" s="60">
        <f>LN('Price Data'!E523/'Price Data'!E522)</f>
        <v>-9.7419577157766392E-4</v>
      </c>
      <c r="F522" s="60">
        <f>LN('Price Data'!F523/'Price Data'!F522)</f>
        <v>-4.0772014945570839E-2</v>
      </c>
    </row>
    <row r="523" spans="1:6" x14ac:dyDescent="0.35">
      <c r="A523" s="2">
        <v>45331</v>
      </c>
      <c r="B523" s="60">
        <f>LN('Price Data'!B524/'Price Data'!B523)</f>
        <v>7.2967948662971309E-3</v>
      </c>
      <c r="C523" s="60">
        <f>LN('Price Data'!C524/'Price Data'!C523)</f>
        <v>-9.6760928012977487E-5</v>
      </c>
      <c r="D523" s="60">
        <f>LN('Price Data'!D524/'Price Data'!D523)</f>
        <v>2.1400816751440024E-2</v>
      </c>
      <c r="E523" s="60">
        <f>LN('Price Data'!E524/'Price Data'!E523)</f>
        <v>-1.3540524176350231E-2</v>
      </c>
      <c r="F523" s="60">
        <f>LN('Price Data'!F524/'Price Data'!F523)</f>
        <v>2.2922938059594389E-3</v>
      </c>
    </row>
    <row r="524" spans="1:6" x14ac:dyDescent="0.35">
      <c r="A524" s="2">
        <v>45334</v>
      </c>
      <c r="B524" s="60">
        <f>LN('Price Data'!B525/'Price Data'!B524)</f>
        <v>-5.7670682649690018E-3</v>
      </c>
      <c r="C524" s="60">
        <f>LN('Price Data'!C525/'Price Data'!C524)</f>
        <v>-3.1498378436389525E-3</v>
      </c>
      <c r="D524" s="60">
        <f>LN('Price Data'!D525/'Price Data'!D524)</f>
        <v>-1.4550784929496864E-2</v>
      </c>
      <c r="E524" s="60">
        <f>LN('Price Data'!E525/'Price Data'!E524)</f>
        <v>6.4251364947074171E-3</v>
      </c>
      <c r="F524" s="60">
        <f>LN('Price Data'!F525/'Price Data'!F524)</f>
        <v>-2.1030133878681995E-2</v>
      </c>
    </row>
    <row r="525" spans="1:6" x14ac:dyDescent="0.35">
      <c r="A525" s="2">
        <v>45335</v>
      </c>
      <c r="B525" s="60">
        <f>LN('Price Data'!B526/'Price Data'!B525)</f>
        <v>8.7405653376898765E-3</v>
      </c>
      <c r="C525" s="60">
        <f>LN('Price Data'!C526/'Price Data'!C525)</f>
        <v>6.9647932141745257E-3</v>
      </c>
      <c r="D525" s="60">
        <f>LN('Price Data'!D526/'Price Data'!D525)</f>
        <v>2.3514154469935225E-2</v>
      </c>
      <c r="E525" s="60">
        <f>LN('Price Data'!E526/'Price Data'!E525)</f>
        <v>2.6421200139041079E-3</v>
      </c>
      <c r="F525" s="60">
        <f>LN('Price Data'!F526/'Price Data'!F525)</f>
        <v>-2.5984825008478933E-4</v>
      </c>
    </row>
    <row r="526" spans="1:6" x14ac:dyDescent="0.35">
      <c r="A526" s="2">
        <v>45336</v>
      </c>
      <c r="B526" s="60">
        <f>LN('Price Data'!B527/'Price Data'!B526)</f>
        <v>1.1050586238244862E-2</v>
      </c>
      <c r="C526" s="60">
        <f>LN('Price Data'!C527/'Price Data'!C526)</f>
        <v>-1.1976481399638094E-2</v>
      </c>
      <c r="D526" s="60">
        <f>LN('Price Data'!D527/'Price Data'!D526)</f>
        <v>2.8396591909118215E-3</v>
      </c>
      <c r="E526" s="60">
        <f>LN('Price Data'!E527/'Price Data'!E526)</f>
        <v>-1.0954589929836726E-2</v>
      </c>
      <c r="F526" s="60">
        <f>LN('Price Data'!F527/'Price Data'!F526)</f>
        <v>1.1729582111693487E-2</v>
      </c>
    </row>
    <row r="527" spans="1:6" x14ac:dyDescent="0.35">
      <c r="A527" s="2">
        <v>45337</v>
      </c>
      <c r="B527" s="60">
        <f>LN('Price Data'!B528/'Price Data'!B527)</f>
        <v>-7.3036049833904177E-3</v>
      </c>
      <c r="C527" s="60">
        <f>LN('Price Data'!C528/'Price Data'!C527)</f>
        <v>7.5579343619418466E-4</v>
      </c>
      <c r="D527" s="60">
        <f>LN('Price Data'!D528/'Price Data'!D527)</f>
        <v>-5.9332804556164742E-3</v>
      </c>
      <c r="E527" s="60">
        <f>LN('Price Data'!E528/'Price Data'!E527)</f>
        <v>6.0773634471116712E-3</v>
      </c>
      <c r="F527" s="60">
        <f>LN('Price Data'!F528/'Price Data'!F527)</f>
        <v>-1.8744958586721573E-2</v>
      </c>
    </row>
    <row r="528" spans="1:6" x14ac:dyDescent="0.35">
      <c r="A528" s="2">
        <v>45338</v>
      </c>
      <c r="B528" s="60">
        <f>LN('Price Data'!B529/'Price Data'!B528)</f>
        <v>-6.8437102913643374E-3</v>
      </c>
      <c r="C528" s="60">
        <f>LN('Price Data'!C529/'Price Data'!C528)</f>
        <v>6.0985428642871004E-3</v>
      </c>
      <c r="D528" s="60">
        <f>LN('Price Data'!D529/'Price Data'!D528)</f>
        <v>6.4709280161616214E-3</v>
      </c>
      <c r="E528" s="60">
        <f>LN('Price Data'!E529/'Price Data'!E528)</f>
        <v>1.4974662611377816E-2</v>
      </c>
      <c r="F528" s="60">
        <f>LN('Price Data'!F529/'Price Data'!F528)</f>
        <v>1.7258064582076919E-3</v>
      </c>
    </row>
    <row r="529" spans="1:6" x14ac:dyDescent="0.35">
      <c r="A529" s="2">
        <v>45341</v>
      </c>
      <c r="B529" s="60">
        <f>LN('Price Data'!B530/'Price Data'!B529)</f>
        <v>9.1530232785243023E-3</v>
      </c>
      <c r="C529" s="60">
        <f>LN('Price Data'!C530/'Price Data'!C529)</f>
        <v>-5.9523262196984955E-3</v>
      </c>
      <c r="D529" s="60">
        <f>LN('Price Data'!D530/'Price Data'!D529)</f>
        <v>1.9836160792552862E-2</v>
      </c>
      <c r="E529" s="60">
        <f>LN('Price Data'!E530/'Price Data'!E529)</f>
        <v>-1.1175729137680368E-3</v>
      </c>
      <c r="F529" s="60">
        <f>LN('Price Data'!F530/'Price Data'!F529)</f>
        <v>1.142988336982589E-2</v>
      </c>
    </row>
    <row r="530" spans="1:6" x14ac:dyDescent="0.35">
      <c r="A530" s="2">
        <v>45342</v>
      </c>
      <c r="B530" s="60">
        <f>LN('Price Data'!B531/'Price Data'!B530)</f>
        <v>-2.0169580662061531E-3</v>
      </c>
      <c r="C530" s="60">
        <f>LN('Price Data'!C531/'Price Data'!C530)</f>
        <v>-1.7985720462223503E-2</v>
      </c>
      <c r="D530" s="60">
        <f>LN('Price Data'!D531/'Price Data'!D530)</f>
        <v>4.7789816163506006E-3</v>
      </c>
      <c r="E530" s="60">
        <f>LN('Price Data'!E531/'Price Data'!E530)</f>
        <v>-8.5620674989724688E-3</v>
      </c>
      <c r="F530" s="60">
        <f>LN('Price Data'!F531/'Price Data'!F530)</f>
        <v>-7.7268515221221223E-3</v>
      </c>
    </row>
    <row r="531" spans="1:6" x14ac:dyDescent="0.35">
      <c r="A531" s="2">
        <v>45343</v>
      </c>
      <c r="B531" s="60">
        <f>LN('Price Data'!B532/'Price Data'!B531)</f>
        <v>-2.2662860659225861E-3</v>
      </c>
      <c r="C531" s="60">
        <f>LN('Price Data'!C532/'Price Data'!C531)</f>
        <v>-9.7605531715701053E-3</v>
      </c>
      <c r="D531" s="60">
        <f>LN('Price Data'!D532/'Price Data'!D531)</f>
        <v>3.0466058696131653E-3</v>
      </c>
      <c r="E531" s="60">
        <f>LN('Price Data'!E532/'Price Data'!E531)</f>
        <v>-1.7784507653804991E-2</v>
      </c>
      <c r="F531" s="60">
        <f>LN('Price Data'!F532/'Price Data'!F531)</f>
        <v>-6.8168726272630374E-3</v>
      </c>
    </row>
    <row r="532" spans="1:6" x14ac:dyDescent="0.35">
      <c r="A532" s="2">
        <v>45344</v>
      </c>
      <c r="B532" s="60">
        <f>LN('Price Data'!B533/'Price Data'!B532)</f>
        <v>9.5272720507944345E-3</v>
      </c>
      <c r="C532" s="60">
        <f>LN('Price Data'!C533/'Price Data'!C532)</f>
        <v>2.3668572003901839E-2</v>
      </c>
      <c r="D532" s="60">
        <f>LN('Price Data'!D533/'Price Data'!D532)</f>
        <v>1.0167254727620373E-2</v>
      </c>
      <c r="E532" s="60">
        <f>LN('Price Data'!E533/'Price Data'!E532)</f>
        <v>1.546652493275504E-2</v>
      </c>
      <c r="F532" s="60">
        <f>LN('Price Data'!F533/'Price Data'!F532)</f>
        <v>2.7171580469789156E-2</v>
      </c>
    </row>
    <row r="533" spans="1:6" x14ac:dyDescent="0.35">
      <c r="A533" s="2">
        <v>45345</v>
      </c>
      <c r="B533" s="60">
        <f>LN('Price Data'!B534/'Price Data'!B533)</f>
        <v>7.9855770568328134E-3</v>
      </c>
      <c r="C533" s="60">
        <f>LN('Price Data'!C534/'Price Data'!C533)</f>
        <v>-8.6004068549272242E-3</v>
      </c>
      <c r="D533" s="60">
        <f>LN('Price Data'!D534/'Price Data'!D533)</f>
        <v>-1.3182676108727091E-3</v>
      </c>
      <c r="E533" s="60">
        <f>LN('Price Data'!E534/'Price Data'!E533)</f>
        <v>-2.6831344068089175E-3</v>
      </c>
      <c r="F533" s="60">
        <f>LN('Price Data'!F534/'Price Data'!F533)</f>
        <v>-7.3982443502613026E-3</v>
      </c>
    </row>
    <row r="534" spans="1:6" x14ac:dyDescent="0.35">
      <c r="A534" s="2">
        <v>45348</v>
      </c>
      <c r="B534" s="60">
        <f>LN('Price Data'!B535/'Price Data'!B534)</f>
        <v>-4.2335560304643969E-3</v>
      </c>
      <c r="C534" s="60">
        <f>LN('Price Data'!C535/'Price Data'!C534)</f>
        <v>-1.2678438579897335E-2</v>
      </c>
      <c r="D534" s="60">
        <f>LN('Price Data'!D535/'Price Data'!D534)</f>
        <v>-6.7123863466702367E-3</v>
      </c>
      <c r="E534" s="60">
        <f>LN('Price Data'!E535/'Price Data'!E534)</f>
        <v>-1.0005206567934317E-2</v>
      </c>
      <c r="F534" s="60">
        <f>LN('Price Data'!F535/'Price Data'!F534)</f>
        <v>-5.3587658830401225E-3</v>
      </c>
    </row>
    <row r="535" spans="1:6" x14ac:dyDescent="0.35">
      <c r="A535" s="2">
        <v>45349</v>
      </c>
      <c r="B535" s="60">
        <f>LN('Price Data'!B536/'Price Data'!B535)</f>
        <v>-1.1234557870744904E-3</v>
      </c>
      <c r="C535" s="60">
        <f>LN('Price Data'!C536/'Price Data'!C535)</f>
        <v>2.5502742333123083E-2</v>
      </c>
      <c r="D535" s="60">
        <f>LN('Price Data'!D536/'Price Data'!D535)</f>
        <v>5.6753841325992323E-3</v>
      </c>
      <c r="E535" s="60">
        <f>LN('Price Data'!E536/'Price Data'!E535)</f>
        <v>2.0755620694847816E-3</v>
      </c>
      <c r="F535" s="60">
        <f>LN('Price Data'!F536/'Price Data'!F535)</f>
        <v>4.7419102847925058E-3</v>
      </c>
    </row>
    <row r="536" spans="1:6" x14ac:dyDescent="0.35">
      <c r="A536" s="2">
        <v>45350</v>
      </c>
      <c r="B536" s="60">
        <f>LN('Price Data'!B537/'Price Data'!B536)</f>
        <v>-2.0413590323912701E-2</v>
      </c>
      <c r="C536" s="60">
        <f>LN('Price Data'!C537/'Price Data'!C536)</f>
        <v>3.5387075056926205E-3</v>
      </c>
      <c r="D536" s="60">
        <f>LN('Price Data'!D537/'Price Data'!D536)</f>
        <v>-1.3293017617195034E-2</v>
      </c>
      <c r="E536" s="60">
        <f>LN('Price Data'!E537/'Price Data'!E536)</f>
        <v>4.5836228083531421E-3</v>
      </c>
      <c r="F536" s="60">
        <f>LN('Price Data'!F537/'Price Data'!F536)</f>
        <v>-6.9400828083297185E-3</v>
      </c>
    </row>
    <row r="537" spans="1:6" x14ac:dyDescent="0.35">
      <c r="A537" s="2">
        <v>45351</v>
      </c>
      <c r="B537" s="60">
        <f>LN('Price Data'!B538/'Price Data'!B537)</f>
        <v>3.5454342573753273E-3</v>
      </c>
      <c r="C537" s="60">
        <f>LN('Price Data'!C538/'Price Data'!C537)</f>
        <v>-5.8071394803207747E-3</v>
      </c>
      <c r="D537" s="60">
        <f>LN('Price Data'!D538/'Price Data'!D537)</f>
        <v>5.7186583601961461E-3</v>
      </c>
      <c r="E537" s="60">
        <f>LN('Price Data'!E538/'Price Data'!E537)</f>
        <v>1.5873019205724099E-3</v>
      </c>
      <c r="F537" s="60">
        <f>LN('Price Data'!F538/'Price Data'!F537)</f>
        <v>-4.9311044353862006E-3</v>
      </c>
    </row>
    <row r="538" spans="1:6" x14ac:dyDescent="0.35">
      <c r="A538" s="2">
        <v>45352</v>
      </c>
      <c r="B538" s="60">
        <f>LN('Price Data'!B539/'Price Data'!B538)</f>
        <v>2.1220398494577457E-2</v>
      </c>
      <c r="C538" s="60">
        <f>LN('Price Data'!C539/'Price Data'!C538)</f>
        <v>-1.8316248395108987E-4</v>
      </c>
      <c r="D538" s="60">
        <f>LN('Price Data'!D539/'Price Data'!D538)</f>
        <v>3.2446397272434466E-2</v>
      </c>
      <c r="E538" s="60">
        <f>LN('Price Data'!E539/'Price Data'!E538)</f>
        <v>-1.1535045345985671E-2</v>
      </c>
      <c r="F538" s="60">
        <f>LN('Price Data'!F539/'Price Data'!F538)</f>
        <v>7.8523241176027634E-3</v>
      </c>
    </row>
    <row r="539" spans="1:6" x14ac:dyDescent="0.35">
      <c r="A539" s="2">
        <v>45353</v>
      </c>
      <c r="B539" s="60">
        <f>LN('Price Data'!B540/'Price Data'!B539)</f>
        <v>-7.0393974501234457E-4</v>
      </c>
      <c r="C539" s="60">
        <f>LN('Price Data'!C540/'Price Data'!C539)</f>
        <v>3.1092088036570654E-3</v>
      </c>
      <c r="D539" s="60">
        <f>LN('Price Data'!D540/'Price Data'!D539)</f>
        <v>-2.0722532800706815E-3</v>
      </c>
      <c r="E539" s="60">
        <f>LN('Price Data'!E540/'Price Data'!E539)</f>
        <v>6.5844507408951841E-3</v>
      </c>
      <c r="F539" s="60">
        <f>LN('Price Data'!F540/'Price Data'!F539)</f>
        <v>6.1712763682722722E-2</v>
      </c>
    </row>
    <row r="540" spans="1:6" x14ac:dyDescent="0.35">
      <c r="A540" s="2">
        <v>45355</v>
      </c>
      <c r="B540" s="60">
        <f>LN('Price Data'!B541/'Price Data'!B540)</f>
        <v>1.0885622819100563E-2</v>
      </c>
      <c r="C540" s="60">
        <f>LN('Price Data'!C541/'Price Data'!C540)</f>
        <v>-6.4486410236873071E-3</v>
      </c>
      <c r="D540" s="60">
        <f>LN('Price Data'!D541/'Price Data'!D540)</f>
        <v>7.0739844830310676E-3</v>
      </c>
      <c r="E540" s="60">
        <f>LN('Price Data'!E541/'Price Data'!E540)</f>
        <v>-1.7215504046980166E-2</v>
      </c>
      <c r="F540" s="60">
        <f>LN('Price Data'!F541/'Price Data'!F540)</f>
        <v>-6.2694168720170917E-2</v>
      </c>
    </row>
    <row r="541" spans="1:6" x14ac:dyDescent="0.35">
      <c r="A541" s="2">
        <v>45356</v>
      </c>
      <c r="B541" s="60">
        <f>LN('Price Data'!B542/'Price Data'!B541)</f>
        <v>-4.7878798738335854E-3</v>
      </c>
      <c r="C541" s="60">
        <f>LN('Price Data'!C542/'Price Data'!C541)</f>
        <v>-1.6953747313919701E-2</v>
      </c>
      <c r="D541" s="60">
        <f>LN('Price Data'!D542/'Price Data'!D541)</f>
        <v>-3.9442355298000458E-3</v>
      </c>
      <c r="E541" s="60">
        <f>LN('Price Data'!E542/'Price Data'!E541)</f>
        <v>-1.893078765943856E-2</v>
      </c>
      <c r="F541" s="60">
        <f>LN('Price Data'!F542/'Price Data'!F541)</f>
        <v>-7.2352272889250942E-3</v>
      </c>
    </row>
    <row r="542" spans="1:6" x14ac:dyDescent="0.35">
      <c r="A542" s="2">
        <v>45357</v>
      </c>
      <c r="B542" s="60">
        <f>LN('Price Data'!B543/'Price Data'!B542)</f>
        <v>1.864678217438449E-3</v>
      </c>
      <c r="C542" s="60">
        <f>LN('Price Data'!C543/'Price Data'!C542)</f>
        <v>1.292673143595007E-2</v>
      </c>
      <c r="D542" s="60">
        <f>LN('Price Data'!D543/'Price Data'!D542)</f>
        <v>8.2832315811436213E-3</v>
      </c>
      <c r="E542" s="60">
        <f>LN('Price Data'!E543/'Price Data'!E542)</f>
        <v>6.8497264054201441E-3</v>
      </c>
      <c r="F542" s="60">
        <f>LN('Price Data'!F543/'Price Data'!F542)</f>
        <v>4.1815527458083819E-3</v>
      </c>
    </row>
    <row r="543" spans="1:6" x14ac:dyDescent="0.35">
      <c r="A543" s="2">
        <v>45358</v>
      </c>
      <c r="B543" s="60">
        <f>LN('Price Data'!B544/'Price Data'!B543)</f>
        <v>-1.6144257438778457E-2</v>
      </c>
      <c r="C543" s="60">
        <f>LN('Price Data'!C544/'Price Data'!C543)</f>
        <v>1.0840811426935925E-2</v>
      </c>
      <c r="D543" s="60">
        <f>LN('Price Data'!D544/'Price Data'!D543)</f>
        <v>-8.37514334591399E-3</v>
      </c>
      <c r="E543" s="60">
        <f>LN('Price Data'!E544/'Price Data'!E543)</f>
        <v>-6.7788812466966313E-4</v>
      </c>
      <c r="F543" s="60">
        <f>LN('Price Data'!F544/'Price Data'!F543)</f>
        <v>1.3873203652108389E-2</v>
      </c>
    </row>
    <row r="544" spans="1:6" x14ac:dyDescent="0.35">
      <c r="A544" s="2">
        <v>45362</v>
      </c>
      <c r="B544" s="60">
        <f>LN('Price Data'!B545/'Price Data'!B544)</f>
        <v>-8.3720566544969888E-3</v>
      </c>
      <c r="C544" s="60">
        <f>LN('Price Data'!C545/'Price Data'!C544)</f>
        <v>3.3410512250720468E-3</v>
      </c>
      <c r="D544" s="60">
        <f>LN('Price Data'!D545/'Price Data'!D544)</f>
        <v>-8.5385790961477626E-3</v>
      </c>
      <c r="E544" s="60">
        <f>LN('Price Data'!E545/'Price Data'!E544)</f>
        <v>-9.8530972002816297E-3</v>
      </c>
      <c r="F544" s="60">
        <f>LN('Price Data'!F545/'Price Data'!F544)</f>
        <v>-1.0070475077506887E-2</v>
      </c>
    </row>
    <row r="545" spans="1:6" x14ac:dyDescent="0.35">
      <c r="A545" s="2">
        <v>45363</v>
      </c>
      <c r="B545" s="60">
        <f>LN('Price Data'!B546/'Price Data'!B545)</f>
        <v>6.0026760526704481E-3</v>
      </c>
      <c r="C545" s="60">
        <f>LN('Price Data'!C546/'Price Data'!C545)</f>
        <v>1.6814193543736047E-2</v>
      </c>
      <c r="D545" s="60">
        <f>LN('Price Data'!D546/'Price Data'!D545)</f>
        <v>-1.7164996907818209E-3</v>
      </c>
      <c r="E545" s="60">
        <f>LN('Price Data'!E546/'Price Data'!E545)</f>
        <v>7.6857497944059494E-3</v>
      </c>
      <c r="F545" s="60">
        <f>LN('Price Data'!F546/'Price Data'!F545)</f>
        <v>-1.2183392898460222E-2</v>
      </c>
    </row>
    <row r="546" spans="1:6" x14ac:dyDescent="0.35">
      <c r="A546" s="2">
        <v>45364</v>
      </c>
      <c r="B546" s="60">
        <f>LN('Price Data'!B547/'Price Data'!B546)</f>
        <v>-2.9751713767128585E-2</v>
      </c>
      <c r="C546" s="60">
        <f>LN('Price Data'!C547/'Price Data'!C546)</f>
        <v>-1.0370241294351006E-2</v>
      </c>
      <c r="D546" s="60">
        <f>LN('Price Data'!D547/'Price Data'!D546)</f>
        <v>6.5716637839234402E-3</v>
      </c>
      <c r="E546" s="60">
        <f>LN('Price Data'!E547/'Price Data'!E546)</f>
        <v>-9.60614867337654E-4</v>
      </c>
      <c r="F546" s="60">
        <f>LN('Price Data'!F547/'Price Data'!F546)</f>
        <v>4.3547948242571376E-2</v>
      </c>
    </row>
    <row r="547" spans="1:6" x14ac:dyDescent="0.35">
      <c r="A547" s="2">
        <v>45365</v>
      </c>
      <c r="B547" s="60">
        <f>LN('Price Data'!B548/'Price Data'!B547)</f>
        <v>-4.9587066474493296E-4</v>
      </c>
      <c r="C547" s="60">
        <f>LN('Price Data'!C548/'Price Data'!C547)</f>
        <v>1.4025072532251156E-2</v>
      </c>
      <c r="D547" s="60">
        <f>LN('Price Data'!D548/'Price Data'!D547)</f>
        <v>-3.2294526358522135E-4</v>
      </c>
      <c r="E547" s="60">
        <f>LN('Price Data'!E548/'Price Data'!E547)</f>
        <v>2.5672843961150014E-2</v>
      </c>
      <c r="F547" s="60">
        <f>LN('Price Data'!F548/'Price Data'!F547)</f>
        <v>-6.6530504117500939E-3</v>
      </c>
    </row>
    <row r="548" spans="1:6" x14ac:dyDescent="0.35">
      <c r="A548" s="2">
        <v>45366</v>
      </c>
      <c r="B548" s="60">
        <f>LN('Price Data'!B549/'Price Data'!B548)</f>
        <v>-9.2993241267345719E-3</v>
      </c>
      <c r="C548" s="60">
        <f>LN('Price Data'!C549/'Price Data'!C548)</f>
        <v>2.7649732514744905E-3</v>
      </c>
      <c r="D548" s="60">
        <f>LN('Price Data'!D549/'Price Data'!D548)</f>
        <v>-3.0037685192608938E-3</v>
      </c>
      <c r="E548" s="60">
        <f>LN('Price Data'!E549/'Price Data'!E548)</f>
        <v>-1.1747277842656204E-2</v>
      </c>
      <c r="F548" s="60">
        <f>LN('Price Data'!F549/'Price Data'!F548)</f>
        <v>-1.3107152835569709E-3</v>
      </c>
    </row>
    <row r="549" spans="1:6" x14ac:dyDescent="0.35">
      <c r="A549" s="2">
        <v>45369</v>
      </c>
      <c r="B549" s="60">
        <f>LN('Price Data'!B550/'Price Data'!B549)</f>
        <v>1.4872426111659181E-2</v>
      </c>
      <c r="C549" s="60">
        <f>LN('Price Data'!C550/'Price Data'!C549)</f>
        <v>-1.5946824629143746E-2</v>
      </c>
      <c r="D549" s="60">
        <f>LN('Price Data'!D550/'Price Data'!D549)</f>
        <v>7.8647271061357642E-4</v>
      </c>
      <c r="E549" s="60">
        <f>LN('Price Data'!E550/'Price Data'!E549)</f>
        <v>-1.9369816809281109E-2</v>
      </c>
      <c r="F549" s="60">
        <f>LN('Price Data'!F550/'Price Data'!F549)</f>
        <v>-3.9424853309769541E-3</v>
      </c>
    </row>
    <row r="550" spans="1:6" x14ac:dyDescent="0.35">
      <c r="A550" s="2">
        <v>45370</v>
      </c>
      <c r="B550" s="60">
        <f>LN('Price Data'!B551/'Price Data'!B550)</f>
        <v>-9.9277533537294113E-3</v>
      </c>
      <c r="C550" s="60">
        <f>LN('Price Data'!C551/'Price Data'!C550)</f>
        <v>-4.3107365380712942E-2</v>
      </c>
      <c r="D550" s="60">
        <f>LN('Price Data'!D551/'Price Data'!D550)</f>
        <v>2.5402410722326313E-3</v>
      </c>
      <c r="E550" s="60">
        <f>LN('Price Data'!E551/'Price Data'!E550)</f>
        <v>-2.6044181581315516E-2</v>
      </c>
      <c r="F550" s="60">
        <f>LN('Price Data'!F551/'Price Data'!F550)</f>
        <v>-1.9096892743560179E-2</v>
      </c>
    </row>
    <row r="551" spans="1:6" x14ac:dyDescent="0.35">
      <c r="A551" s="2">
        <v>45371</v>
      </c>
      <c r="B551" s="60">
        <f>LN('Price Data'!B552/'Price Data'!B551)</f>
        <v>1.2896658358412352E-2</v>
      </c>
      <c r="C551" s="60">
        <f>LN('Price Data'!C552/'Price Data'!C551)</f>
        <v>-1.6104278662308919E-3</v>
      </c>
      <c r="D551" s="60">
        <f>LN('Price Data'!D552/'Price Data'!D551)</f>
        <v>5.0727479240390014E-4</v>
      </c>
      <c r="E551" s="60">
        <f>LN('Price Data'!E552/'Price Data'!E551)</f>
        <v>-4.169173560838001E-3</v>
      </c>
      <c r="F551" s="60">
        <f>LN('Price Data'!F552/'Price Data'!F551)</f>
        <v>1.4909972636437273E-2</v>
      </c>
    </row>
    <row r="552" spans="1:6" x14ac:dyDescent="0.35">
      <c r="A552" s="2">
        <v>45372</v>
      </c>
      <c r="B552" s="60">
        <f>LN('Price Data'!B553/'Price Data'!B552)</f>
        <v>4.9884030040667779E-3</v>
      </c>
      <c r="C552" s="60">
        <f>LN('Price Data'!C553/'Price Data'!C552)</f>
        <v>5.1612254650004069E-4</v>
      </c>
      <c r="D552" s="60">
        <f>LN('Price Data'!D553/'Price Data'!D552)</f>
        <v>-2.4927308296024725E-3</v>
      </c>
      <c r="E552" s="60">
        <f>LN('Price Data'!E553/'Price Data'!E552)</f>
        <v>-1.6169560514233886E-4</v>
      </c>
      <c r="F552" s="60">
        <f>LN('Price Data'!F553/'Price Data'!F552)</f>
        <v>1.3261621286892908E-2</v>
      </c>
    </row>
    <row r="553" spans="1:6" x14ac:dyDescent="0.35">
      <c r="A553" s="2">
        <v>45373</v>
      </c>
      <c r="B553" s="60">
        <f>LN('Price Data'!B554/'Price Data'!B553)</f>
        <v>2.7942206755639598E-3</v>
      </c>
      <c r="C553" s="60">
        <f>LN('Price Data'!C554/'Price Data'!C553)</f>
        <v>-1.5741365266589636E-2</v>
      </c>
      <c r="D553" s="60">
        <f>LN('Price Data'!D554/'Price Data'!D553)</f>
        <v>7.8265672750095494E-3</v>
      </c>
      <c r="E553" s="60">
        <f>LN('Price Data'!E554/'Price Data'!E553)</f>
        <v>-2.993940752498463E-2</v>
      </c>
      <c r="F553" s="60">
        <f>LN('Price Data'!F554/'Price Data'!F553)</f>
        <v>1.7289633021743928E-2</v>
      </c>
    </row>
    <row r="554" spans="1:6" x14ac:dyDescent="0.35">
      <c r="A554" s="2">
        <v>45377</v>
      </c>
      <c r="B554" s="60">
        <f>LN('Price Data'!B555/'Price Data'!B554)</f>
        <v>-9.293721523073192E-3</v>
      </c>
      <c r="C554" s="60">
        <f>LN('Price Data'!C555/'Price Data'!C554)</f>
        <v>-8.5769104697224832E-3</v>
      </c>
      <c r="D554" s="60">
        <f>LN('Price Data'!D555/'Price Data'!D554)</f>
        <v>-6.0717757833864735E-3</v>
      </c>
      <c r="E554" s="60">
        <f>LN('Price Data'!E555/'Price Data'!E554)</f>
        <v>-1.0788530870644969E-2</v>
      </c>
      <c r="F554" s="60">
        <f>LN('Price Data'!F555/'Price Data'!F554)</f>
        <v>-2.2221682683201409E-3</v>
      </c>
    </row>
    <row r="555" spans="1:6" x14ac:dyDescent="0.35">
      <c r="A555" s="2">
        <v>45378</v>
      </c>
      <c r="B555" s="60">
        <f>LN('Price Data'!B556/'Price Data'!B555)</f>
        <v>3.4954247210540634E-2</v>
      </c>
      <c r="C555" s="60">
        <f>LN('Price Data'!C556/'Price Data'!C555)</f>
        <v>-9.4839019304508079E-3</v>
      </c>
      <c r="D555" s="60">
        <f>LN('Price Data'!D556/'Price Data'!D555)</f>
        <v>4.613716580214649E-5</v>
      </c>
      <c r="E555" s="60">
        <f>LN('Price Data'!E556/'Price Data'!E555)</f>
        <v>-5.9125189555523146E-3</v>
      </c>
      <c r="F555" s="60">
        <f>LN('Price Data'!F556/'Price Data'!F555)</f>
        <v>8.153685052386103E-4</v>
      </c>
    </row>
    <row r="556" spans="1:6" x14ac:dyDescent="0.35">
      <c r="A556" s="2">
        <v>45379</v>
      </c>
      <c r="B556" s="60">
        <f>LN('Price Data'!B557/'Price Data'!B556)</f>
        <v>-4.700045581010912E-3</v>
      </c>
      <c r="C556" s="60">
        <f>LN('Price Data'!C557/'Price Data'!C556)</f>
        <v>9.1743762760412295E-3</v>
      </c>
      <c r="D556" s="60">
        <f>LN('Price Data'!D557/'Price Data'!D556)</f>
        <v>8.77339634568753E-3</v>
      </c>
      <c r="E556" s="60">
        <f>LN('Price Data'!E557/'Price Data'!E556)</f>
        <v>9.523881511255541E-3</v>
      </c>
      <c r="F556" s="60">
        <f>LN('Price Data'!F557/'Price Data'!F556)</f>
        <v>8.3938186926046205E-4</v>
      </c>
    </row>
    <row r="557" spans="1:6" x14ac:dyDescent="0.35">
      <c r="A557" s="2">
        <v>45383</v>
      </c>
      <c r="B557" s="60">
        <f>LN('Price Data'!B558/'Price Data'!B557)</f>
        <v>-7.2038594256003494E-4</v>
      </c>
      <c r="C557" s="60">
        <f>LN('Price Data'!C558/'Price Data'!C557)</f>
        <v>1.0381137877312152E-2</v>
      </c>
      <c r="D557" s="60">
        <f>LN('Price Data'!D558/'Price Data'!D557)</f>
        <v>5.7913018972663363E-3</v>
      </c>
      <c r="E557" s="60">
        <f>LN('Price Data'!E558/'Price Data'!E557)</f>
        <v>-1.7401649820985314E-3</v>
      </c>
      <c r="F557" s="60">
        <f>LN('Price Data'!F558/'Price Data'!F557)</f>
        <v>-3.8818676742535915E-3</v>
      </c>
    </row>
    <row r="558" spans="1:6" x14ac:dyDescent="0.35">
      <c r="A558" s="2">
        <v>45384</v>
      </c>
      <c r="B558" s="60">
        <f>LN('Price Data'!B559/'Price Data'!B558)</f>
        <v>1.4604290333852014E-3</v>
      </c>
      <c r="C558" s="60">
        <f>LN('Price Data'!C559/'Price Data'!C558)</f>
        <v>-8.4481724940768943E-3</v>
      </c>
      <c r="D558" s="60">
        <f>LN('Price Data'!D559/'Price Data'!D558)</f>
        <v>-1.6920411935412761E-2</v>
      </c>
      <c r="E558" s="60">
        <f>LN('Price Data'!E559/'Price Data'!E558)</f>
        <v>-8.4616642717953387E-3</v>
      </c>
      <c r="F558" s="60">
        <f>LN('Price Data'!F559/'Price Data'!F558)</f>
        <v>-1.9838324216950119E-3</v>
      </c>
    </row>
    <row r="559" spans="1:6" x14ac:dyDescent="0.35">
      <c r="A559" s="2">
        <v>45385</v>
      </c>
      <c r="B559" s="60">
        <f>LN('Price Data'!B560/'Price Data'!B559)</f>
        <v>-1.0376797916397028E-2</v>
      </c>
      <c r="C559" s="60">
        <f>LN('Price Data'!C560/'Price Data'!C559)</f>
        <v>1.6217745088930313E-2</v>
      </c>
      <c r="D559" s="60">
        <f>LN('Price Data'!D560/'Price Data'!D559)</f>
        <v>-3.7064534648487027E-3</v>
      </c>
      <c r="E559" s="60">
        <f>LN('Price Data'!E560/'Price Data'!E559)</f>
        <v>-1.4863129625914441E-3</v>
      </c>
      <c r="F559" s="60">
        <f>LN('Price Data'!F560/'Price Data'!F559)</f>
        <v>-1.5401816483954364E-3</v>
      </c>
    </row>
    <row r="560" spans="1:6" x14ac:dyDescent="0.35">
      <c r="A560" s="2">
        <v>45386</v>
      </c>
      <c r="B560" s="60">
        <f>LN('Price Data'!B561/'Price Data'!B560)</f>
        <v>-5.9089702451460176E-3</v>
      </c>
      <c r="C560" s="60">
        <f>LN('Price Data'!C561/'Price Data'!C560)</f>
        <v>1.40872201081341E-2</v>
      </c>
      <c r="D560" s="60">
        <f>LN('Price Data'!D561/'Price Data'!D560)</f>
        <v>1.5305770479500348E-3</v>
      </c>
      <c r="E560" s="60">
        <f>LN('Price Data'!E561/'Price Data'!E560)</f>
        <v>4.0803657090057819E-3</v>
      </c>
      <c r="F560" s="60">
        <f>LN('Price Data'!F561/'Price Data'!F560)</f>
        <v>-5.7593936081873544E-3</v>
      </c>
    </row>
    <row r="561" spans="1:6" x14ac:dyDescent="0.35">
      <c r="A561" s="2">
        <v>45387</v>
      </c>
      <c r="B561" s="60">
        <f>LN('Price Data'!B562/'Price Data'!B561)</f>
        <v>-1.9363474779549913E-3</v>
      </c>
      <c r="C561" s="60">
        <f>LN('Price Data'!C562/'Price Data'!C561)</f>
        <v>-6.0256616666201131E-3</v>
      </c>
      <c r="D561" s="60">
        <f>LN('Price Data'!D562/'Price Data'!D561)</f>
        <v>4.2085852384045304E-3</v>
      </c>
      <c r="E561" s="60">
        <f>LN('Price Data'!E562/'Price Data'!E561)</f>
        <v>-5.1268600487931583E-3</v>
      </c>
      <c r="F561" s="60">
        <f>LN('Price Data'!F562/'Price Data'!F561)</f>
        <v>1.1288036317855873E-2</v>
      </c>
    </row>
    <row r="562" spans="1:6" x14ac:dyDescent="0.35">
      <c r="A562" s="2">
        <v>45390</v>
      </c>
      <c r="B562" s="60">
        <f>LN('Price Data'!B563/'Price Data'!B562)</f>
        <v>1.756283114109437E-2</v>
      </c>
      <c r="C562" s="60">
        <f>LN('Price Data'!C563/'Price Data'!C562)</f>
        <v>-1.6851534458920537E-3</v>
      </c>
      <c r="D562" s="60">
        <f>LN('Price Data'!D563/'Price Data'!D562)</f>
        <v>3.4553488572692491E-3</v>
      </c>
      <c r="E562" s="60">
        <f>LN('Price Data'!E563/'Price Data'!E562)</f>
        <v>-1.6194666105273153E-3</v>
      </c>
      <c r="F562" s="60">
        <f>LN('Price Data'!F563/'Price Data'!F562)</f>
        <v>3.6031628321113716E-3</v>
      </c>
    </row>
    <row r="563" spans="1:6" x14ac:dyDescent="0.35">
      <c r="A563" s="2">
        <v>45391</v>
      </c>
      <c r="B563" s="60">
        <f>LN('Price Data'!B564/'Price Data'!B563)</f>
        <v>-1.5134441747643279E-2</v>
      </c>
      <c r="C563" s="60">
        <f>LN('Price Data'!C564/'Price Data'!C563)</f>
        <v>-6.5664263419248012E-3</v>
      </c>
      <c r="D563" s="60">
        <f>LN('Price Data'!D564/'Price Data'!D563)</f>
        <v>1.8139226725903353E-2</v>
      </c>
      <c r="E563" s="60">
        <f>LN('Price Data'!E564/'Price Data'!E563)</f>
        <v>1.221037878537067E-2</v>
      </c>
      <c r="F563" s="60">
        <f>LN('Price Data'!F564/'Price Data'!F563)</f>
        <v>-6.4256455179462621E-3</v>
      </c>
    </row>
    <row r="564" spans="1:6" x14ac:dyDescent="0.35">
      <c r="A564" s="2">
        <v>45392</v>
      </c>
      <c r="B564" s="60">
        <f>LN('Price Data'!B565/'Price Data'!B564)</f>
        <v>1.0818189101570879E-2</v>
      </c>
      <c r="C564" s="60">
        <f>LN('Price Data'!C565/'Price Data'!C564)</f>
        <v>9.6076994848440667E-3</v>
      </c>
      <c r="D564" s="60">
        <f>LN('Price Data'!D565/'Price Data'!D564)</f>
        <v>2.1205088141630882E-3</v>
      </c>
      <c r="E564" s="60">
        <f>LN('Price Data'!E565/'Price Data'!E564)</f>
        <v>7.9669950322846551E-3</v>
      </c>
      <c r="F564" s="60">
        <f>LN('Price Data'!F565/'Price Data'!F564)</f>
        <v>2.4563798553212998E-2</v>
      </c>
    </row>
    <row r="565" spans="1:6" x14ac:dyDescent="0.35">
      <c r="A565" s="2">
        <v>45394</v>
      </c>
      <c r="B565" s="60">
        <f>LN('Price Data'!B566/'Price Data'!B565)</f>
        <v>-8.4297615979286398E-3</v>
      </c>
      <c r="C565" s="60">
        <f>LN('Price Data'!C566/'Price Data'!C565)</f>
        <v>4.1948208593245856E-3</v>
      </c>
      <c r="D565" s="60">
        <f>LN('Price Data'!D566/'Price Data'!D565)</f>
        <v>-4.5171275651347941E-3</v>
      </c>
      <c r="E565" s="60">
        <f>LN('Price Data'!E566/'Price Data'!E565)</f>
        <v>-1.4744164986112316E-2</v>
      </c>
      <c r="F565" s="60">
        <f>LN('Price Data'!F566/'Price Data'!F565)</f>
        <v>-1.5800582305119746E-2</v>
      </c>
    </row>
    <row r="566" spans="1:6" x14ac:dyDescent="0.35">
      <c r="A566" s="2">
        <v>45397</v>
      </c>
      <c r="B566" s="60">
        <f>LN('Price Data'!B567/'Price Data'!B566)</f>
        <v>-1.5893753963971229E-3</v>
      </c>
      <c r="C566" s="60">
        <f>LN('Price Data'!C567/'Price Data'!C566)</f>
        <v>-1.5159054417996176E-2</v>
      </c>
      <c r="D566" s="60">
        <f>LN('Price Data'!D567/'Price Data'!D566)</f>
        <v>-2.3870105958009338E-2</v>
      </c>
      <c r="E566" s="60">
        <f>LN('Price Data'!E567/'Price Data'!E566)</f>
        <v>-1.1245371965400902E-2</v>
      </c>
      <c r="F566" s="60">
        <f>LN('Price Data'!F567/'Price Data'!F566)</f>
        <v>-9.8050897299161964E-3</v>
      </c>
    </row>
    <row r="567" spans="1:6" x14ac:dyDescent="0.35">
      <c r="A567" s="2">
        <v>45398</v>
      </c>
      <c r="B567" s="60">
        <f>LN('Price Data'!B568/'Price Data'!B567)</f>
        <v>6.3468883610986093E-4</v>
      </c>
      <c r="C567" s="60">
        <f>LN('Price Data'!C568/'Price Data'!C567)</f>
        <v>-1.7507485822834807E-2</v>
      </c>
      <c r="D567" s="60">
        <f>LN('Price Data'!D568/'Price Data'!D567)</f>
        <v>-1.0534263538010253E-2</v>
      </c>
      <c r="E567" s="60">
        <f>LN('Price Data'!E568/'Price Data'!E567)</f>
        <v>-3.726307115747049E-2</v>
      </c>
      <c r="F567" s="60">
        <f>LN('Price Data'!F568/'Price Data'!F567)</f>
        <v>0</v>
      </c>
    </row>
    <row r="568" spans="1:6" x14ac:dyDescent="0.35">
      <c r="A568" s="2">
        <v>45400</v>
      </c>
      <c r="B568" s="60">
        <f>LN('Price Data'!B569/'Price Data'!B568)</f>
        <v>-9.7608597305545979E-4</v>
      </c>
      <c r="C568" s="60">
        <f>LN('Price Data'!C569/'Price Data'!C568)</f>
        <v>-2.7925756370248541E-3</v>
      </c>
      <c r="D568" s="60">
        <f>LN('Price Data'!D569/'Price Data'!D568)</f>
        <v>-1.0930615307900354E-2</v>
      </c>
      <c r="E568" s="60">
        <f>LN('Price Data'!E569/'Price Data'!E568)</f>
        <v>3.3926968968720763E-3</v>
      </c>
      <c r="F568" s="60">
        <f>LN('Price Data'!F569/'Price Data'!F568)</f>
        <v>-1.6693123663911052E-2</v>
      </c>
    </row>
    <row r="569" spans="1:6" x14ac:dyDescent="0.35">
      <c r="A569" s="2">
        <v>45401</v>
      </c>
      <c r="B569" s="60">
        <f>LN('Price Data'!B570/'Price Data'!B569)</f>
        <v>3.9598613654855831E-3</v>
      </c>
      <c r="C569" s="60">
        <f>LN('Price Data'!C570/'Price Data'!C569)</f>
        <v>-9.3130404391788685E-3</v>
      </c>
      <c r="D569" s="60">
        <f>LN('Price Data'!D570/'Price Data'!D569)</f>
        <v>1.1118030385991958E-2</v>
      </c>
      <c r="E569" s="60">
        <f>LN('Price Data'!E570/'Price Data'!E569)</f>
        <v>-5.6561558291036672E-3</v>
      </c>
      <c r="F569" s="60">
        <f>LN('Price Data'!F570/'Price Data'!F569)</f>
        <v>1.3984138870031488E-2</v>
      </c>
    </row>
    <row r="570" spans="1:6" x14ac:dyDescent="0.35">
      <c r="A570" s="2">
        <v>45404</v>
      </c>
      <c r="B570" s="60">
        <f>LN('Price Data'!B571/'Price Data'!B570)</f>
        <v>6.5898990336595766E-3</v>
      </c>
      <c r="C570" s="60">
        <f>LN('Price Data'!C571/'Price Data'!C570)</f>
        <v>9.9860402316190103E-3</v>
      </c>
      <c r="D570" s="60">
        <f>LN('Price Data'!D571/'Price Data'!D570)</f>
        <v>1.801432251363996E-2</v>
      </c>
      <c r="E570" s="60">
        <f>LN('Price Data'!E571/'Price Data'!E570)</f>
        <v>1.5120193576892791E-2</v>
      </c>
      <c r="F570" s="60">
        <f>LN('Price Data'!F571/'Price Data'!F570)</f>
        <v>1.2932751504119763E-3</v>
      </c>
    </row>
    <row r="571" spans="1:6" x14ac:dyDescent="0.35">
      <c r="A571" s="2">
        <v>45405</v>
      </c>
      <c r="B571" s="60">
        <f>LN('Price Data'!B572/'Price Data'!B571)</f>
        <v>-1.3970157489505655E-2</v>
      </c>
      <c r="C571" s="60">
        <f>LN('Price Data'!C572/'Price Data'!C571)</f>
        <v>2.6100566546756001E-3</v>
      </c>
      <c r="D571" s="60">
        <f>LN('Price Data'!D572/'Price Data'!D571)</f>
        <v>3.3074585711643737E-3</v>
      </c>
      <c r="E571" s="60">
        <f>LN('Price Data'!E572/'Price Data'!E571)</f>
        <v>6.7155661194214511E-3</v>
      </c>
      <c r="F571" s="60">
        <f>LN('Price Data'!F572/'Price Data'!F571)</f>
        <v>9.1295461970710562E-3</v>
      </c>
    </row>
    <row r="572" spans="1:6" x14ac:dyDescent="0.35">
      <c r="A572" s="2">
        <v>45406</v>
      </c>
      <c r="B572" s="60">
        <f>LN('Price Data'!B573/'Price Data'!B572)</f>
        <v>-6.2828871397291961E-3</v>
      </c>
      <c r="C572" s="60">
        <f>LN('Price Data'!C573/'Price Data'!C572)</f>
        <v>-1.1329323397490616E-2</v>
      </c>
      <c r="D572" s="60">
        <f>LN('Price Data'!D573/'Price Data'!D572)</f>
        <v>5.9442333234475475E-3</v>
      </c>
      <c r="E572" s="60">
        <f>LN('Price Data'!E573/'Price Data'!E572)</f>
        <v>-8.1133081861729777E-3</v>
      </c>
      <c r="F572" s="60">
        <f>LN('Price Data'!F573/'Price Data'!F572)</f>
        <v>-7.1448812431325955E-4</v>
      </c>
    </row>
    <row r="573" spans="1:6" x14ac:dyDescent="0.35">
      <c r="A573" s="2">
        <v>45407</v>
      </c>
      <c r="B573" s="60">
        <f>LN('Price Data'!B574/'Price Data'!B573)</f>
        <v>6.7282009048855304E-3</v>
      </c>
      <c r="C573" s="60">
        <f>LN('Price Data'!C574/'Price Data'!C573)</f>
        <v>5.5054966120369406E-3</v>
      </c>
      <c r="D573" s="60">
        <f>LN('Price Data'!D574/'Price Data'!D573)</f>
        <v>1.5381438738695602E-2</v>
      </c>
      <c r="E573" s="60">
        <f>LN('Price Data'!E574/'Price Data'!E573)</f>
        <v>5.3695732423593876E-3</v>
      </c>
      <c r="F573" s="60">
        <f>LN('Price Data'!F574/'Price Data'!F573)</f>
        <v>1.9984317030533074E-2</v>
      </c>
    </row>
    <row r="574" spans="1:6" x14ac:dyDescent="0.35">
      <c r="A574" s="2">
        <v>45408</v>
      </c>
      <c r="B574" s="60">
        <f>LN('Price Data'!B575/'Price Data'!B574)</f>
        <v>-5.0952550045530506E-3</v>
      </c>
      <c r="C574" s="60">
        <f>LN('Price Data'!C575/'Price Data'!C574)</f>
        <v>-8.0406503403212953E-3</v>
      </c>
      <c r="D574" s="60">
        <f>LN('Price Data'!D575/'Price Data'!D574)</f>
        <v>-5.2663682583917789E-3</v>
      </c>
      <c r="E574" s="60">
        <f>LN('Price Data'!E575/'Price Data'!E574)</f>
        <v>-5.721072036822485E-3</v>
      </c>
      <c r="F574" s="60">
        <f>LN('Price Data'!F575/'Price Data'!F574)</f>
        <v>5.5891638909372175E-3</v>
      </c>
    </row>
    <row r="575" spans="1:6" x14ac:dyDescent="0.35">
      <c r="A575" s="2">
        <v>45411</v>
      </c>
      <c r="B575" s="60">
        <f>LN('Price Data'!B576/'Price Data'!B575)</f>
        <v>8.5550875156880195E-3</v>
      </c>
      <c r="C575" s="60">
        <f>LN('Price Data'!C576/'Price Data'!C575)</f>
        <v>1.270242196524617E-2</v>
      </c>
      <c r="D575" s="60">
        <f>LN('Price Data'!D576/'Price Data'!D575)</f>
        <v>4.6082975558748816E-2</v>
      </c>
      <c r="E575" s="60">
        <f>LN('Price Data'!E576/'Price Data'!E575)</f>
        <v>3.1450319716974321E-3</v>
      </c>
      <c r="F575" s="60">
        <f>LN('Price Data'!F576/'Price Data'!F575)</f>
        <v>-4.1165695658949746E-3</v>
      </c>
    </row>
    <row r="576" spans="1:6" x14ac:dyDescent="0.35">
      <c r="A576" s="2">
        <v>45412</v>
      </c>
      <c r="B576" s="60">
        <f>LN('Price Data'!B577/'Price Data'!B576)</f>
        <v>1.3437790857819872E-3</v>
      </c>
      <c r="C576" s="60">
        <f>LN('Price Data'!C577/'Price Data'!C576)</f>
        <v>-1.2885620081435149E-2</v>
      </c>
      <c r="D576" s="60">
        <f>LN('Price Data'!D577/'Price Data'!D576)</f>
        <v>-8.4395991185937484E-3</v>
      </c>
      <c r="E576" s="60">
        <f>LN('Price Data'!E577/'Price Data'!E576)</f>
        <v>-9.946195473307759E-3</v>
      </c>
      <c r="F576" s="60">
        <f>LN('Price Data'!F577/'Price Data'!F576)</f>
        <v>-5.8306381690269374E-3</v>
      </c>
    </row>
    <row r="577" spans="1:6" x14ac:dyDescent="0.35">
      <c r="A577" s="2">
        <v>45414</v>
      </c>
      <c r="B577" s="60">
        <f>LN('Price Data'!B578/'Price Data'!B577)</f>
        <v>-3.0679552319178358E-4</v>
      </c>
      <c r="C577" s="60">
        <f>LN('Price Data'!C578/'Price Data'!C577)</f>
        <v>1.1101175307157112E-2</v>
      </c>
      <c r="D577" s="60">
        <f>LN('Price Data'!D578/'Price Data'!D577)</f>
        <v>-9.5640181380020582E-3</v>
      </c>
      <c r="E577" s="60">
        <f>LN('Price Data'!E578/'Price Data'!E577)</f>
        <v>-4.306330281836036E-3</v>
      </c>
      <c r="F577" s="60">
        <f>LN('Price Data'!F578/'Price Data'!F577)</f>
        <v>7.6623170769763091E-3</v>
      </c>
    </row>
    <row r="578" spans="1:6" x14ac:dyDescent="0.35">
      <c r="A578" s="2">
        <v>45415</v>
      </c>
      <c r="B578" s="60">
        <f>LN('Price Data'!B579/'Price Data'!B578)</f>
        <v>-2.2444961460224268E-2</v>
      </c>
      <c r="C578" s="60">
        <f>LN('Price Data'!C579/'Price Data'!C578)</f>
        <v>-5.1643490024422412E-3</v>
      </c>
      <c r="D578" s="60">
        <f>LN('Price Data'!D579/'Price Data'!D578)</f>
        <v>2.2792032658626345E-3</v>
      </c>
      <c r="E578" s="60">
        <f>LN('Price Data'!E579/'Price Data'!E578)</f>
        <v>1.3073383320547532E-3</v>
      </c>
      <c r="F578" s="60">
        <f>LN('Price Data'!F579/'Price Data'!F578)</f>
        <v>-5.819936977157051E-3</v>
      </c>
    </row>
    <row r="579" spans="1:6" x14ac:dyDescent="0.35">
      <c r="A579" s="2">
        <v>45418</v>
      </c>
      <c r="B579" s="60">
        <f>LN('Price Data'!B580/'Price Data'!B579)</f>
        <v>-1.0141911267679991E-2</v>
      </c>
      <c r="C579" s="60">
        <f>LN('Price Data'!C580/'Price Data'!C579)</f>
        <v>2.0002083561718811E-2</v>
      </c>
      <c r="D579" s="60">
        <f>LN('Price Data'!D580/'Price Data'!D579)</f>
        <v>3.7144710263210326E-3</v>
      </c>
      <c r="E579" s="60">
        <f>LN('Price Data'!E580/'Price Data'!E579)</f>
        <v>6.758049547044378E-3</v>
      </c>
      <c r="F579" s="60">
        <f>LN('Price Data'!F580/'Price Data'!F579)</f>
        <v>-3.9069659123016284E-3</v>
      </c>
    </row>
    <row r="580" spans="1:6" x14ac:dyDescent="0.35">
      <c r="A580" s="2">
        <v>45419</v>
      </c>
      <c r="B580" s="60">
        <f>LN('Price Data'!B581/'Price Data'!B580)</f>
        <v>-1.2804145152964262E-2</v>
      </c>
      <c r="C580" s="60">
        <f>LN('Price Data'!C581/'Price Data'!C580)</f>
        <v>1.4658490316580846E-2</v>
      </c>
      <c r="D580" s="60">
        <f>LN('Price Data'!D581/'Price Data'!D580)</f>
        <v>-1.2641727482589366E-2</v>
      </c>
      <c r="E580" s="60">
        <f>LN('Price Data'!E581/'Price Data'!E580)</f>
        <v>1.0502448514814852E-2</v>
      </c>
      <c r="F580" s="60">
        <f>LN('Price Data'!F581/'Price Data'!F580)</f>
        <v>1.2804272245987749E-2</v>
      </c>
    </row>
    <row r="581" spans="1:6" x14ac:dyDescent="0.35">
      <c r="A581" s="2">
        <v>45420</v>
      </c>
      <c r="B581" s="60">
        <f>LN('Price Data'!B582/'Price Data'!B581)</f>
        <v>1.2113537390709393E-2</v>
      </c>
      <c r="C581" s="60">
        <f>LN('Price Data'!C582/'Price Data'!C581)</f>
        <v>-5.0277153863925554E-4</v>
      </c>
      <c r="D581" s="60">
        <f>LN('Price Data'!D582/'Price Data'!D581)</f>
        <v>-7.8939608999313605E-3</v>
      </c>
      <c r="E581" s="60">
        <f>LN('Price Data'!E582/'Price Data'!E581)</f>
        <v>-9.5226126117910828E-3</v>
      </c>
      <c r="F581" s="60">
        <f>LN('Price Data'!F582/'Price Data'!F581)</f>
        <v>1.4632335268403784E-3</v>
      </c>
    </row>
    <row r="582" spans="1:6" x14ac:dyDescent="0.35">
      <c r="A582" s="2">
        <v>45421</v>
      </c>
      <c r="B582" s="60">
        <f>LN('Price Data'!B583/'Price Data'!B582)</f>
        <v>-1.7364658342386884E-2</v>
      </c>
      <c r="C582" s="60">
        <f>LN('Price Data'!C583/'Price Data'!C582)</f>
        <v>-4.2206648142932533E-3</v>
      </c>
      <c r="D582" s="60">
        <f>LN('Price Data'!D583/'Price Data'!D582)</f>
        <v>-6.521665139309101E-3</v>
      </c>
      <c r="E582" s="60">
        <f>LN('Price Data'!E583/'Price Data'!E582)</f>
        <v>8.5450817766426403E-3</v>
      </c>
      <c r="F582" s="60">
        <f>LN('Price Data'!F583/'Price Data'!F582)</f>
        <v>-3.6716600169999329E-2</v>
      </c>
    </row>
    <row r="583" spans="1:6" x14ac:dyDescent="0.35">
      <c r="A583" s="2">
        <v>45422</v>
      </c>
      <c r="B583" s="60">
        <f>LN('Price Data'!B584/'Price Data'!B583)</f>
        <v>9.4947814196866855E-3</v>
      </c>
      <c r="C583" s="60">
        <f>LN('Price Data'!C584/'Price Data'!C583)</f>
        <v>-1.6883302955454746E-2</v>
      </c>
      <c r="D583" s="60">
        <f>LN('Price Data'!D584/'Price Data'!D583)</f>
        <v>1.2092712256301379E-3</v>
      </c>
      <c r="E583" s="60">
        <f>LN('Price Data'!E584/'Price Data'!E583)</f>
        <v>-1.0223372289111604E-2</v>
      </c>
      <c r="F583" s="60">
        <f>LN('Price Data'!F584/'Price Data'!F583)</f>
        <v>1.9210047692108812E-2</v>
      </c>
    </row>
    <row r="584" spans="1:6" x14ac:dyDescent="0.35">
      <c r="A584" s="2">
        <v>45425</v>
      </c>
      <c r="B584" s="60">
        <f>LN('Price Data'!B585/'Price Data'!B584)</f>
        <v>-3.3663954813048977E-3</v>
      </c>
      <c r="C584" s="60">
        <f>LN('Price Data'!C585/'Price Data'!C584)</f>
        <v>1.3747235640647684E-2</v>
      </c>
      <c r="D584" s="60">
        <f>LN('Price Data'!D585/'Price Data'!D584)</f>
        <v>9.7548712332399899E-3</v>
      </c>
      <c r="E584" s="60">
        <f>LN('Price Data'!E585/'Price Data'!E584)</f>
        <v>-1.0238703897916372E-3</v>
      </c>
      <c r="F584" s="60">
        <f>LN('Price Data'!F585/'Price Data'!F584)</f>
        <v>-3.4453723192563739E-3</v>
      </c>
    </row>
    <row r="585" spans="1:6" x14ac:dyDescent="0.35">
      <c r="A585" s="2">
        <v>45426</v>
      </c>
      <c r="B585" s="60">
        <f>LN('Price Data'!B586/'Price Data'!B585)</f>
        <v>1.2307215429331712E-2</v>
      </c>
      <c r="C585" s="60">
        <f>LN('Price Data'!C586/'Price Data'!C585)</f>
        <v>-1.1874263611027181E-2</v>
      </c>
      <c r="D585" s="60">
        <f>LN('Price Data'!D586/'Price Data'!D585)</f>
        <v>-6.6265168764069789E-3</v>
      </c>
      <c r="E585" s="60">
        <f>LN('Price Data'!E586/'Price Data'!E585)</f>
        <v>8.8270919759196652E-4</v>
      </c>
      <c r="F585" s="60">
        <f>LN('Price Data'!F586/'Price Data'!F585)</f>
        <v>-5.005899735065043E-3</v>
      </c>
    </row>
    <row r="586" spans="1:6" x14ac:dyDescent="0.35">
      <c r="A586" s="2">
        <v>45427</v>
      </c>
      <c r="B586" s="60">
        <f>LN('Price Data'!B587/'Price Data'!B586)</f>
        <v>-2.6724503362973049E-3</v>
      </c>
      <c r="C586" s="60">
        <f>LN('Price Data'!C587/'Price Data'!C586)</f>
        <v>-5.3459570107314601E-3</v>
      </c>
      <c r="D586" s="60">
        <f>LN('Price Data'!D587/'Price Data'!D586)</f>
        <v>3.385454701244604E-3</v>
      </c>
      <c r="E586" s="60">
        <f>LN('Price Data'!E587/'Price Data'!E586)</f>
        <v>-3.3442837254093393E-3</v>
      </c>
      <c r="F586" s="60">
        <f>LN('Price Data'!F587/'Price Data'!F586)</f>
        <v>-4.4378771060454448E-3</v>
      </c>
    </row>
    <row r="587" spans="1:6" x14ac:dyDescent="0.35">
      <c r="A587" s="2">
        <v>45428</v>
      </c>
      <c r="B587" s="60">
        <f>LN('Price Data'!B588/'Price Data'!B587)</f>
        <v>6.3836817609893076E-3</v>
      </c>
      <c r="C587" s="60">
        <f>LN('Price Data'!C588/'Price Data'!C587)</f>
        <v>5.2818721110344862E-3</v>
      </c>
      <c r="D587" s="60">
        <f>LN('Price Data'!D588/'Price Data'!D587)</f>
        <v>5.9413139210026346E-3</v>
      </c>
      <c r="E587" s="60">
        <f>LN('Price Data'!E588/'Price Data'!E587)</f>
        <v>2.3247663398350944E-2</v>
      </c>
      <c r="F587" s="60">
        <f>LN('Price Data'!F588/'Price Data'!F587)</f>
        <v>8.5132025116814603E-3</v>
      </c>
    </row>
    <row r="588" spans="1:6" x14ac:dyDescent="0.35">
      <c r="A588" s="2">
        <v>45429</v>
      </c>
      <c r="B588" s="60">
        <f>LN('Price Data'!B589/'Price Data'!B588)</f>
        <v>7.235137553998728E-3</v>
      </c>
      <c r="C588" s="60">
        <f>LN('Price Data'!C589/'Price Data'!C588)</f>
        <v>-1.7285386512264939E-2</v>
      </c>
      <c r="D588" s="60">
        <f>LN('Price Data'!D589/'Price Data'!D588)</f>
        <v>-4.8639208581992272E-4</v>
      </c>
      <c r="E588" s="60">
        <f>LN('Price Data'!E589/'Price Data'!E588)</f>
        <v>-6.2400208029593854E-3</v>
      </c>
      <c r="F588" s="60">
        <f>LN('Price Data'!F589/'Price Data'!F588)</f>
        <v>1.1158600372476513E-2</v>
      </c>
    </row>
    <row r="589" spans="1:6" x14ac:dyDescent="0.35">
      <c r="A589" s="2">
        <v>45430</v>
      </c>
      <c r="B589" s="60">
        <f>LN('Price Data'!B590/'Price Data'!B589)</f>
        <v>-6.0615985663881283E-4</v>
      </c>
      <c r="C589" s="60">
        <f>LN('Price Data'!C590/'Price Data'!C589)</f>
        <v>4.5149740677737612E-3</v>
      </c>
      <c r="D589" s="60">
        <f>LN('Price Data'!D590/'Price Data'!D589)</f>
        <v>2.2111663992803443E-4</v>
      </c>
      <c r="E589" s="60">
        <f>LN('Price Data'!E590/'Price Data'!E589)</f>
        <v>5.1669293314473971E-3</v>
      </c>
      <c r="F589" s="60">
        <f>LN('Price Data'!F590/'Price Data'!F589)</f>
        <v>5.6314104093764153E-2</v>
      </c>
    </row>
    <row r="590" spans="1:6" x14ac:dyDescent="0.35">
      <c r="A590" s="2">
        <v>45433</v>
      </c>
      <c r="B590" s="60">
        <f>LN('Price Data'!B591/'Price Data'!B590)</f>
        <v>9.0562048154606983E-4</v>
      </c>
      <c r="C590" s="60">
        <f>LN('Price Data'!C591/'Price Data'!C590)</f>
        <v>-8.1469235026371371E-3</v>
      </c>
      <c r="D590" s="60">
        <f>LN('Price Data'!D591/'Price Data'!D590)</f>
        <v>-8.7045893135437296E-3</v>
      </c>
      <c r="E590" s="60">
        <f>LN('Price Data'!E591/'Price Data'!E590)</f>
        <v>-1.2224170952850314E-2</v>
      </c>
      <c r="F590" s="60">
        <f>LN('Price Data'!F591/'Price Data'!F590)</f>
        <v>-5.9736146823068638E-2</v>
      </c>
    </row>
    <row r="591" spans="1:6" x14ac:dyDescent="0.35">
      <c r="A591" s="2">
        <v>45434</v>
      </c>
      <c r="B591" s="60">
        <f>LN('Price Data'!B592/'Price Data'!B591)</f>
        <v>1.6929546348724064E-2</v>
      </c>
      <c r="C591" s="60">
        <f>LN('Price Data'!C592/'Price Data'!C591)</f>
        <v>3.0840828397165608E-3</v>
      </c>
      <c r="D591" s="60">
        <f>LN('Price Data'!D592/'Price Data'!D591)</f>
        <v>-8.8260244544458872E-3</v>
      </c>
      <c r="E591" s="60">
        <f>LN('Price Data'!E592/'Price Data'!E591)</f>
        <v>1.4300080773526467E-2</v>
      </c>
      <c r="F591" s="60">
        <f>LN('Price Data'!F592/'Price Data'!F591)</f>
        <v>1.1649960155430846E-2</v>
      </c>
    </row>
    <row r="592" spans="1:6" x14ac:dyDescent="0.35">
      <c r="A592" s="2">
        <v>45435</v>
      </c>
      <c r="B592" s="60">
        <f>LN('Price Data'!B593/'Price Data'!B592)</f>
        <v>1.7240050979869592E-2</v>
      </c>
      <c r="C592" s="60">
        <f>LN('Price Data'!C593/'Price Data'!C592)</f>
        <v>1.590879392781748E-2</v>
      </c>
      <c r="D592" s="60">
        <f>LN('Price Data'!D593/'Price Data'!D592)</f>
        <v>2.0841509629933433E-2</v>
      </c>
      <c r="E592" s="60">
        <f>LN('Price Data'!E593/'Price Data'!E592)</f>
        <v>1.2024330666434326E-2</v>
      </c>
      <c r="F592" s="60">
        <f>LN('Price Data'!F593/'Price Data'!F592)</f>
        <v>3.2866751430536642E-3</v>
      </c>
    </row>
    <row r="593" spans="1:6" x14ac:dyDescent="0.35">
      <c r="A593" s="2">
        <v>45436</v>
      </c>
      <c r="B593" s="60">
        <f>LN('Price Data'!B594/'Price Data'!B593)</f>
        <v>-3.9106006752634122E-3</v>
      </c>
      <c r="C593" s="60">
        <f>LN('Price Data'!C594/'Price Data'!C593)</f>
        <v>-1.1352384300464468E-2</v>
      </c>
      <c r="D593" s="60">
        <f>LN('Price Data'!D594/'Price Data'!D593)</f>
        <v>-2.2502160435815257E-3</v>
      </c>
      <c r="E593" s="60">
        <f>LN('Price Data'!E594/'Price Data'!E593)</f>
        <v>-4.9708425417697667E-3</v>
      </c>
      <c r="F593" s="60">
        <f>LN('Price Data'!F594/'Price Data'!F593)</f>
        <v>-1.173267129646457E-2</v>
      </c>
    </row>
    <row r="594" spans="1:6" x14ac:dyDescent="0.35">
      <c r="A594" s="2">
        <v>45439</v>
      </c>
      <c r="B594" s="60">
        <f>LN('Price Data'!B595/'Price Data'!B594)</f>
        <v>-9.502871444200256E-3</v>
      </c>
      <c r="C594" s="60">
        <f>LN('Price Data'!C595/'Price Data'!C594)</f>
        <v>-6.3664890964206845E-4</v>
      </c>
      <c r="D594" s="60">
        <f>LN('Price Data'!D595/'Price Data'!D594)</f>
        <v>-1.9011832851531932E-3</v>
      </c>
      <c r="E594" s="60">
        <f>LN('Price Data'!E595/'Price Data'!E594)</f>
        <v>4.2534456368023927E-3</v>
      </c>
      <c r="F594" s="60">
        <f>LN('Price Data'!F595/'Price Data'!F594)</f>
        <v>-1.0842525662948828E-2</v>
      </c>
    </row>
    <row r="595" spans="1:6" x14ac:dyDescent="0.35">
      <c r="A595" s="2">
        <v>45440</v>
      </c>
      <c r="B595" s="60">
        <f>LN('Price Data'!B596/'Price Data'!B595)</f>
        <v>-6.8778180070744651E-3</v>
      </c>
      <c r="C595" s="60">
        <f>LN('Price Data'!C596/'Price Data'!C595)</f>
        <v>-1.860296232446299E-3</v>
      </c>
      <c r="D595" s="60">
        <f>LN('Price Data'!D596/'Price Data'!D595)</f>
        <v>-2.5257574078823234E-3</v>
      </c>
      <c r="E595" s="60">
        <f>LN('Price Data'!E596/'Price Data'!E595)</f>
        <v>-2.9227278132249318E-3</v>
      </c>
      <c r="F595" s="60">
        <f>LN('Price Data'!F596/'Price Data'!F595)</f>
        <v>-5.7982571173099537E-3</v>
      </c>
    </row>
    <row r="596" spans="1:6" x14ac:dyDescent="0.35">
      <c r="A596" s="2">
        <v>45441</v>
      </c>
      <c r="B596" s="60">
        <f>LN('Price Data'!B597/'Price Data'!B596)</f>
        <v>-1.0645669372332646E-2</v>
      </c>
      <c r="C596" s="60">
        <f>LN('Price Data'!C597/'Price Data'!C596)</f>
        <v>-9.4851925559661428E-3</v>
      </c>
      <c r="D596" s="60">
        <f>LN('Price Data'!D597/'Price Data'!D596)</f>
        <v>-2.2388157770419595E-2</v>
      </c>
      <c r="E596" s="60">
        <f>LN('Price Data'!E597/'Price Data'!E596)</f>
        <v>-1.1035212702457348E-2</v>
      </c>
      <c r="F596" s="60">
        <f>LN('Price Data'!F597/'Price Data'!F596)</f>
        <v>4.5235596853094358E-3</v>
      </c>
    </row>
    <row r="597" spans="1:6" x14ac:dyDescent="0.35">
      <c r="A597" s="2">
        <v>45442</v>
      </c>
      <c r="B597" s="60">
        <f>LN('Price Data'!B598/'Price Data'!B597)</f>
        <v>-1.1118088583976936E-2</v>
      </c>
      <c r="C597" s="60">
        <f>LN('Price Data'!C598/'Price Data'!C597)</f>
        <v>-1.7918845434246228E-2</v>
      </c>
      <c r="D597" s="60">
        <f>LN('Price Data'!D598/'Price Data'!D597)</f>
        <v>1.0561094686194676E-2</v>
      </c>
      <c r="E597" s="60">
        <f>LN('Price Data'!E598/'Price Data'!E597)</f>
        <v>-1.6330059246082825E-2</v>
      </c>
      <c r="F597" s="60">
        <f>LN('Price Data'!F598/'Price Data'!F597)</f>
        <v>-1.6595941403385321E-2</v>
      </c>
    </row>
    <row r="598" spans="1:6" x14ac:dyDescent="0.35">
      <c r="A598" s="2">
        <v>45443</v>
      </c>
      <c r="B598" s="60">
        <f>LN('Price Data'!B599/'Price Data'!B598)</f>
        <v>3.8875804149486877E-3</v>
      </c>
      <c r="C598" s="60">
        <f>LN('Price Data'!C599/'Price Data'!C598)</f>
        <v>-1.7591802448683014E-2</v>
      </c>
      <c r="D598" s="60">
        <f>LN('Price Data'!D599/'Price Data'!D598)</f>
        <v>6.5779407114259668E-3</v>
      </c>
      <c r="E598" s="60">
        <f>LN('Price Data'!E599/'Price Data'!E598)</f>
        <v>-8.8807702391838286E-3</v>
      </c>
      <c r="F598" s="60">
        <f>LN('Price Data'!F599/'Price Data'!F598)</f>
        <v>6.116379087678479E-3</v>
      </c>
    </row>
    <row r="599" spans="1:6" x14ac:dyDescent="0.35">
      <c r="A599" s="2">
        <v>45446</v>
      </c>
      <c r="B599" s="60">
        <f>LN('Price Data'!B600/'Price Data'!B599)</f>
        <v>5.4367423467537944E-2</v>
      </c>
      <c r="C599" s="60">
        <f>LN('Price Data'!C600/'Price Data'!C599)</f>
        <v>8.6523092595710682E-3</v>
      </c>
      <c r="D599" s="60">
        <f>LN('Price Data'!D600/'Price Data'!D599)</f>
        <v>3.415425898992986E-2</v>
      </c>
      <c r="E599" s="60">
        <f>LN('Price Data'!E600/'Price Data'!E599)</f>
        <v>-7.1103529730588558E-4</v>
      </c>
      <c r="F599" s="60">
        <f>LN('Price Data'!F600/'Price Data'!F599)</f>
        <v>9.1049916525400877E-3</v>
      </c>
    </row>
    <row r="600" spans="1:6" x14ac:dyDescent="0.35">
      <c r="A600" s="2">
        <v>45447</v>
      </c>
      <c r="B600" s="60">
        <f>LN('Price Data'!B601/'Price Data'!B600)</f>
        <v>-7.7794059221364995E-2</v>
      </c>
      <c r="C600" s="60">
        <f>LN('Price Data'!C601/'Price Data'!C600)</f>
        <v>3.2758847551681964E-3</v>
      </c>
      <c r="D600" s="60">
        <f>LN('Price Data'!D601/'Price Data'!D600)</f>
        <v>-7.9407133831319171E-2</v>
      </c>
      <c r="E600" s="60">
        <f>LN('Price Data'!E601/'Price Data'!E600)</f>
        <v>-8.7514623304304987E-3</v>
      </c>
      <c r="F600" s="60">
        <f>LN('Price Data'!F601/'Price Data'!F600)</f>
        <v>-3.5832864372805619E-2</v>
      </c>
    </row>
    <row r="601" spans="1:6" x14ac:dyDescent="0.35">
      <c r="A601" s="2">
        <v>45448</v>
      </c>
      <c r="B601" s="60">
        <f>LN('Price Data'!B602/'Price Data'!B601)</f>
        <v>1.6657411511808017E-2</v>
      </c>
      <c r="C601" s="60">
        <f>LN('Price Data'!C602/'Price Data'!C601)</f>
        <v>8.4300467740464798E-3</v>
      </c>
      <c r="D601" s="60">
        <f>LN('Price Data'!D602/'Price Data'!D601)</f>
        <v>3.4130187629914259E-2</v>
      </c>
      <c r="E601" s="60">
        <f>LN('Price Data'!E602/'Price Data'!E601)</f>
        <v>2.5818167123458281E-2</v>
      </c>
      <c r="F601" s="60">
        <f>LN('Price Data'!F602/'Price Data'!F601)</f>
        <v>3.5710042918199472E-2</v>
      </c>
    </row>
    <row r="602" spans="1:6" x14ac:dyDescent="0.35">
      <c r="A602" s="2">
        <v>45449</v>
      </c>
      <c r="B602" s="60">
        <f>LN('Price Data'!B603/'Price Data'!B602)</f>
        <v>7.6077987146396936E-3</v>
      </c>
      <c r="C602" s="60">
        <f>LN('Price Data'!C603/'Price Data'!C602)</f>
        <v>2.2160511437747995E-2</v>
      </c>
      <c r="D602" s="60">
        <f>LN('Price Data'!D603/'Price Data'!D602)</f>
        <v>1.5772518535345365E-3</v>
      </c>
      <c r="E602" s="60">
        <f>LN('Price Data'!E603/'Price Data'!E602)</f>
        <v>2.9047470945790448E-2</v>
      </c>
      <c r="F602" s="60">
        <f>LN('Price Data'!F603/'Price Data'!F602)</f>
        <v>1.1771162584040038E-2</v>
      </c>
    </row>
    <row r="603" spans="1:6" x14ac:dyDescent="0.35">
      <c r="A603" s="2">
        <v>45450</v>
      </c>
      <c r="B603" s="60">
        <f>LN('Price Data'!B604/'Price Data'!B603)</f>
        <v>2.6435686696993442E-2</v>
      </c>
      <c r="C603" s="60">
        <f>LN('Price Data'!C604/'Price Data'!C603)</f>
        <v>1.6454830218976427E-2</v>
      </c>
      <c r="D603" s="60">
        <f>LN('Price Data'!D604/'Price Data'!D603)</f>
        <v>1.0125080898637537E-2</v>
      </c>
      <c r="E603" s="60">
        <f>LN('Price Data'!E604/'Price Data'!E603)</f>
        <v>4.0826069906754511E-2</v>
      </c>
      <c r="F603" s="60">
        <f>LN('Price Data'!F604/'Price Data'!F603)</f>
        <v>8.5818761260523461E-3</v>
      </c>
    </row>
    <row r="604" spans="1:6" x14ac:dyDescent="0.35">
      <c r="A604" s="2">
        <v>45453</v>
      </c>
      <c r="B604" s="60">
        <f>LN('Price Data'!B605/'Price Data'!B604)</f>
        <v>9.8594190930015313E-4</v>
      </c>
      <c r="C604" s="60">
        <f>LN('Price Data'!C605/'Price Data'!C604)</f>
        <v>-9.0937274141893992E-3</v>
      </c>
      <c r="D604" s="60">
        <f>LN('Price Data'!D605/'Price Data'!D604)</f>
        <v>1.8704080269200762E-3</v>
      </c>
      <c r="E604" s="60">
        <f>LN('Price Data'!E605/'Price Data'!E604)</f>
        <v>-2.2319485198232198E-2</v>
      </c>
      <c r="F604" s="60">
        <f>LN('Price Data'!F605/'Price Data'!F604)</f>
        <v>-5.1402828114461164E-3</v>
      </c>
    </row>
    <row r="605" spans="1:6" x14ac:dyDescent="0.35">
      <c r="A605" s="2">
        <v>45454</v>
      </c>
      <c r="B605" s="60">
        <f>LN('Price Data'!B606/'Price Data'!B605)</f>
        <v>-1.0054454800451482E-2</v>
      </c>
      <c r="C605" s="60">
        <f>LN('Price Data'!C606/'Price Data'!C605)</f>
        <v>-1.7118850474146946E-3</v>
      </c>
      <c r="D605" s="60">
        <f>LN('Price Data'!D606/'Price Data'!D605)</f>
        <v>-4.9955500855528284E-3</v>
      </c>
      <c r="E605" s="60">
        <f>LN('Price Data'!E606/'Price Data'!E605)</f>
        <v>-2.6706742630613432E-3</v>
      </c>
      <c r="F605" s="60">
        <f>LN('Price Data'!F606/'Price Data'!F605)</f>
        <v>-8.9680160663734385E-3</v>
      </c>
    </row>
    <row r="606" spans="1:6" x14ac:dyDescent="0.35">
      <c r="A606" s="2">
        <v>45455</v>
      </c>
      <c r="B606" s="60">
        <f>LN('Price Data'!B607/'Price Data'!B606)</f>
        <v>4.5479530445714979E-3</v>
      </c>
      <c r="C606" s="60">
        <f>LN('Price Data'!C607/'Price Data'!C606)</f>
        <v>-5.3229343185825506E-3</v>
      </c>
      <c r="D606" s="60">
        <f>LN('Price Data'!D607/'Price Data'!D606)</f>
        <v>1.2065692448024682E-3</v>
      </c>
      <c r="E606" s="60">
        <f>LN('Price Data'!E607/'Price Data'!E606)</f>
        <v>-7.0783099672161141E-3</v>
      </c>
      <c r="F606" s="60">
        <f>LN('Price Data'!F607/'Price Data'!F606)</f>
        <v>-1.6125489091286804E-3</v>
      </c>
    </row>
    <row r="607" spans="1:6" x14ac:dyDescent="0.35">
      <c r="A607" s="2">
        <v>45456</v>
      </c>
      <c r="B607" s="60">
        <f>LN('Price Data'!B608/'Price Data'!B607)</f>
        <v>1.3180496142544489E-3</v>
      </c>
      <c r="C607" s="60">
        <f>LN('Price Data'!C608/'Price Data'!C607)</f>
        <v>1.2062715983932255E-2</v>
      </c>
      <c r="D607" s="60">
        <f>LN('Price Data'!D608/'Price Data'!D607)</f>
        <v>-1.0957045271493351E-2</v>
      </c>
      <c r="E607" s="60">
        <f>LN('Price Data'!E608/'Price Data'!E607)</f>
        <v>5.8741756276564396E-3</v>
      </c>
      <c r="F607" s="60">
        <f>LN('Price Data'!F608/'Price Data'!F607)</f>
        <v>-4.6321909231440677E-3</v>
      </c>
    </row>
    <row r="608" spans="1:6" x14ac:dyDescent="0.35">
      <c r="A608" s="2">
        <v>45457</v>
      </c>
      <c r="B608" s="60">
        <f>LN('Price Data'!B609/'Price Data'!B608)</f>
        <v>8.3594342986692861E-3</v>
      </c>
      <c r="C608" s="60">
        <f>LN('Price Data'!C609/'Price Data'!C608)</f>
        <v>-1.1958327764048126E-2</v>
      </c>
      <c r="D608" s="60">
        <f>LN('Price Data'!D609/'Price Data'!D608)</f>
        <v>-1.5363762624466472E-3</v>
      </c>
      <c r="E608" s="60">
        <f>LN('Price Data'!E609/'Price Data'!E608)</f>
        <v>-3.3860266690765666E-3</v>
      </c>
      <c r="F608" s="60">
        <f>LN('Price Data'!F609/'Price Data'!F608)</f>
        <v>1.9633353546985922E-3</v>
      </c>
    </row>
    <row r="609" spans="1:6" x14ac:dyDescent="0.35">
      <c r="A609" s="2">
        <v>45461</v>
      </c>
      <c r="B609" s="60">
        <f>LN('Price Data'!B610/'Price Data'!B609)</f>
        <v>2.3524809908187132E-3</v>
      </c>
      <c r="C609" s="60">
        <f>LN('Price Data'!C610/'Price Data'!C609)</f>
        <v>-4.4330313275171927E-3</v>
      </c>
      <c r="D609" s="60">
        <f>LN('Price Data'!D610/'Price Data'!D609)</f>
        <v>1.5436698721142839E-2</v>
      </c>
      <c r="E609" s="60">
        <f>LN('Price Data'!E610/'Price Data'!E609)</f>
        <v>6.22679525227762E-3</v>
      </c>
      <c r="F609" s="60">
        <f>LN('Price Data'!F610/'Price Data'!F609)</f>
        <v>-5.581043903696346E-3</v>
      </c>
    </row>
    <row r="610" spans="1:6" x14ac:dyDescent="0.35">
      <c r="A610" s="2">
        <v>45462</v>
      </c>
      <c r="B610" s="60">
        <f>LN('Price Data'!B611/'Price Data'!B610)</f>
        <v>-1.5226441237376398E-2</v>
      </c>
      <c r="C610" s="60">
        <f>LN('Price Data'!C611/'Price Data'!C610)</f>
        <v>-3.518541598697922E-3</v>
      </c>
      <c r="D610" s="60">
        <f>LN('Price Data'!D611/'Price Data'!D610)</f>
        <v>1.9054076214107072E-2</v>
      </c>
      <c r="E610" s="60">
        <f>LN('Price Data'!E611/'Price Data'!E610)</f>
        <v>8.7389036148073067E-3</v>
      </c>
      <c r="F610" s="60">
        <f>LN('Price Data'!F611/'Price Data'!F610)</f>
        <v>-1.1954803950975621E-2</v>
      </c>
    </row>
    <row r="611" spans="1:6" x14ac:dyDescent="0.35">
      <c r="A611" s="2">
        <v>45463</v>
      </c>
      <c r="B611" s="60">
        <f>LN('Price Data'!B612/'Price Data'!B611)</f>
        <v>1.0264894810567072E-2</v>
      </c>
      <c r="C611" s="60">
        <f>LN('Price Data'!C612/'Price Data'!C611)</f>
        <v>-3.8081730576798611E-3</v>
      </c>
      <c r="D611" s="60">
        <f>LN('Price Data'!D612/'Price Data'!D611)</f>
        <v>1.0733400165842786E-2</v>
      </c>
      <c r="E611" s="60">
        <f>LN('Price Data'!E612/'Price Data'!E611)</f>
        <v>2.6761393686833756E-3</v>
      </c>
      <c r="F611" s="60">
        <f>LN('Price Data'!F612/'Price Data'!F611)</f>
        <v>-8.2373355630659334E-4</v>
      </c>
    </row>
    <row r="612" spans="1:6" x14ac:dyDescent="0.35">
      <c r="A612" s="2">
        <v>45464</v>
      </c>
      <c r="B612" s="60">
        <f>LN('Price Data'!B613/'Price Data'!B612)</f>
        <v>-1.3320324003260805E-2</v>
      </c>
      <c r="C612" s="60">
        <f>LN('Price Data'!C613/'Price Data'!C612)</f>
        <v>6.1858581035180212E-3</v>
      </c>
      <c r="D612" s="60">
        <f>LN('Price Data'!D613/'Price Data'!D612)</f>
        <v>1.5979618593896904E-3</v>
      </c>
      <c r="E612" s="60">
        <f>LN('Price Data'!E613/'Price Data'!E612)</f>
        <v>1.1351455507588986E-2</v>
      </c>
      <c r="F612" s="60">
        <f>LN('Price Data'!F613/'Price Data'!F612)</f>
        <v>-8.7785865985689129E-3</v>
      </c>
    </row>
    <row r="613" spans="1:6" x14ac:dyDescent="0.35">
      <c r="A613" s="2">
        <v>45467</v>
      </c>
      <c r="B613" s="60">
        <f>LN('Price Data'!B614/'Price Data'!B613)</f>
        <v>-8.7924950085915676E-3</v>
      </c>
      <c r="C613" s="60">
        <f>LN('Price Data'!C614/'Price Data'!C613)</f>
        <v>1.5863550599463851E-3</v>
      </c>
      <c r="D613" s="60">
        <f>LN('Price Data'!D614/'Price Data'!D613)</f>
        <v>9.8336809610222158E-3</v>
      </c>
      <c r="E613" s="60">
        <f>LN('Price Data'!E614/'Price Data'!E613)</f>
        <v>-3.6276327835474864E-3</v>
      </c>
      <c r="F613" s="60">
        <f>LN('Price Data'!F614/'Price Data'!F613)</f>
        <v>8.7785865985688868E-3</v>
      </c>
    </row>
    <row r="614" spans="1:6" x14ac:dyDescent="0.35">
      <c r="A614" s="2">
        <v>45468</v>
      </c>
      <c r="B614" s="60">
        <f>LN('Price Data'!B615/'Price Data'!B614)</f>
        <v>8.7581112514751314E-3</v>
      </c>
      <c r="C614" s="60">
        <f>LN('Price Data'!C615/'Price Data'!C614)</f>
        <v>5.6562640596339352E-3</v>
      </c>
      <c r="D614" s="60">
        <f>LN('Price Data'!D615/'Price Data'!D614)</f>
        <v>2.3522547352456957E-2</v>
      </c>
      <c r="E614" s="60">
        <f>LN('Price Data'!E615/'Price Data'!E614)</f>
        <v>9.644595954714421E-3</v>
      </c>
      <c r="F614" s="60">
        <f>LN('Price Data'!F615/'Price Data'!F614)</f>
        <v>0</v>
      </c>
    </row>
    <row r="615" spans="1:6" x14ac:dyDescent="0.35">
      <c r="A615" s="2">
        <v>45469</v>
      </c>
      <c r="B615" s="60">
        <f>LN('Price Data'!B616/'Price Data'!B615)</f>
        <v>4.0353432401683535E-2</v>
      </c>
      <c r="C615" s="60">
        <f>LN('Price Data'!C616/'Price Data'!C615)</f>
        <v>4.522836297326565E-3</v>
      </c>
      <c r="D615" s="60">
        <f>LN('Price Data'!D616/'Price Data'!D615)</f>
        <v>1.6598406692473193E-2</v>
      </c>
      <c r="E615" s="60">
        <f>LN('Price Data'!E616/'Price Data'!E615)</f>
        <v>-8.1099058829964645E-4</v>
      </c>
      <c r="F615" s="60">
        <f>LN('Price Data'!F616/'Price Data'!F615)</f>
        <v>1.5221272791963471E-3</v>
      </c>
    </row>
    <row r="616" spans="1:6" x14ac:dyDescent="0.35">
      <c r="A616" s="2">
        <v>45470</v>
      </c>
      <c r="B616" s="60">
        <f>LN('Price Data'!B617/'Price Data'!B616)</f>
        <v>1.0852178053719424E-2</v>
      </c>
      <c r="C616" s="60">
        <f>LN('Price Data'!C617/'Price Data'!C616)</f>
        <v>2.010337279390562E-2</v>
      </c>
      <c r="D616" s="60">
        <f>LN('Price Data'!D617/'Price Data'!D616)</f>
        <v>1.5587188848496098E-3</v>
      </c>
      <c r="E616" s="60">
        <f>LN('Price Data'!E617/'Price Data'!E616)</f>
        <v>2.0970245487993259E-2</v>
      </c>
      <c r="F616" s="60">
        <f>LN('Price Data'!F617/'Price Data'!F616)</f>
        <v>3.8821470217946957E-3</v>
      </c>
    </row>
    <row r="617" spans="1:6" x14ac:dyDescent="0.35">
      <c r="A617" s="2">
        <v>45471</v>
      </c>
      <c r="B617" s="60">
        <f>LN('Price Data'!B618/'Price Data'!B617)</f>
        <v>2.2514234456494912E-2</v>
      </c>
      <c r="C617" s="60">
        <f>LN('Price Data'!C618/'Price Data'!C617)</f>
        <v>-7.6547584267439043E-3</v>
      </c>
      <c r="D617" s="60">
        <f>LN('Price Data'!D618/'Price Data'!D617)</f>
        <v>-1.6780720279838044E-2</v>
      </c>
      <c r="E617" s="60">
        <f>LN('Price Data'!E618/'Price Data'!E617)</f>
        <v>-4.2036939709376962E-3</v>
      </c>
      <c r="F617" s="60">
        <f>LN('Price Data'!F618/'Price Data'!F617)</f>
        <v>-1.6406078899244749E-3</v>
      </c>
    </row>
    <row r="618" spans="1:6" x14ac:dyDescent="0.35">
      <c r="A618" s="2">
        <v>45474</v>
      </c>
      <c r="B618" s="60">
        <f>LN('Price Data'!B619/'Price Data'!B618)</f>
        <v>-3.359411903485945E-3</v>
      </c>
      <c r="C618" s="60">
        <f>LN('Price Data'!C619/'Price Data'!C618)</f>
        <v>1.8789365744940729E-2</v>
      </c>
      <c r="D618" s="60">
        <f>LN('Price Data'!D619/'Price Data'!D618)</f>
        <v>1.0159949718973334E-2</v>
      </c>
      <c r="E618" s="60">
        <f>LN('Price Data'!E619/'Price Data'!E618)</f>
        <v>1.5233624228750627E-2</v>
      </c>
      <c r="F618" s="60">
        <f>LN('Price Data'!F619/'Price Data'!F618)</f>
        <v>9.7296057506054516E-3</v>
      </c>
    </row>
    <row r="619" spans="1:6" x14ac:dyDescent="0.35">
      <c r="A619" s="2">
        <v>45475</v>
      </c>
      <c r="B619" s="60">
        <f>LN('Price Data'!B620/'Price Data'!B619)</f>
        <v>3.2188628676124761E-3</v>
      </c>
      <c r="C619" s="60">
        <f>LN('Price Data'!C620/'Price Data'!C619)</f>
        <v>9.8054715294875645E-3</v>
      </c>
      <c r="D619" s="60">
        <f>LN('Price Data'!D620/'Price Data'!D619)</f>
        <v>-1.7690735874537546E-2</v>
      </c>
      <c r="E619" s="60">
        <f>LN('Price Data'!E620/'Price Data'!E619)</f>
        <v>1.8837053083748757E-2</v>
      </c>
      <c r="F619" s="60">
        <f>LN('Price Data'!F620/'Price Data'!F619)</f>
        <v>-8.312558688787202E-3</v>
      </c>
    </row>
    <row r="620" spans="1:6" x14ac:dyDescent="0.35">
      <c r="A620" s="2">
        <v>45476</v>
      </c>
      <c r="B620" s="60">
        <f>LN('Price Data'!B621/'Price Data'!B620)</f>
        <v>-8.1793881105783114E-3</v>
      </c>
      <c r="C620" s="60">
        <f>LN('Price Data'!C621/'Price Data'!C620)</f>
        <v>-1.3066022416778495E-2</v>
      </c>
      <c r="D620" s="60">
        <f>LN('Price Data'!D621/'Price Data'!D620)</f>
        <v>9.1966202905806368E-3</v>
      </c>
      <c r="E620" s="60">
        <f>LN('Price Data'!E621/'Price Data'!E620)</f>
        <v>3.9095618452726286E-3</v>
      </c>
      <c r="F620" s="60">
        <f>LN('Price Data'!F621/'Price Data'!F620)</f>
        <v>6.561784572229514E-3</v>
      </c>
    </row>
    <row r="621" spans="1:6" x14ac:dyDescent="0.35">
      <c r="A621" s="2">
        <v>45477</v>
      </c>
      <c r="B621" s="60">
        <f>LN('Price Data'!B622/'Price Data'!B621)</f>
        <v>1.0301115362720506E-3</v>
      </c>
      <c r="C621" s="60">
        <f>LN('Price Data'!C622/'Price Data'!C621)</f>
        <v>1.394928831856101E-2</v>
      </c>
      <c r="D621" s="60">
        <f>LN('Price Data'!D622/'Price Data'!D621)</f>
        <v>2.5796222154474035E-2</v>
      </c>
      <c r="E621" s="60">
        <f>LN('Price Data'!E622/'Price Data'!E621)</f>
        <v>1.4185500452257985E-2</v>
      </c>
      <c r="F621" s="60">
        <f>LN('Price Data'!F622/'Price Data'!F621)</f>
        <v>1.7507741165576317E-3</v>
      </c>
    </row>
    <row r="622" spans="1:6" x14ac:dyDescent="0.35">
      <c r="A622" s="2">
        <v>45478</v>
      </c>
      <c r="B622" s="60">
        <f>LN('Price Data'!B623/'Price Data'!B622)</f>
        <v>2.2020452812598682E-2</v>
      </c>
      <c r="C622" s="60">
        <f>LN('Price Data'!C623/'Price Data'!C622)</f>
        <v>-2.278174711633094E-3</v>
      </c>
      <c r="D622" s="60">
        <f>LN('Price Data'!D623/'Price Data'!D622)</f>
        <v>3.2435939304819954E-4</v>
      </c>
      <c r="E622" s="60">
        <f>LN('Price Data'!E623/'Price Data'!E622)</f>
        <v>-1.9405118123502884E-3</v>
      </c>
      <c r="F622" s="60">
        <f>LN('Price Data'!F623/'Price Data'!F622)</f>
        <v>1.0660167360887244E-2</v>
      </c>
    </row>
    <row r="623" spans="1:6" x14ac:dyDescent="0.35">
      <c r="A623" s="2">
        <v>45481</v>
      </c>
      <c r="B623" s="60">
        <f>LN('Price Data'!B624/'Price Data'!B623)</f>
        <v>7.6939615108919408E-3</v>
      </c>
      <c r="C623" s="60">
        <f>LN('Price Data'!C624/'Price Data'!C623)</f>
        <v>-4.6471039283271119E-3</v>
      </c>
      <c r="D623" s="60">
        <f>LN('Price Data'!D624/'Price Data'!D623)</f>
        <v>1.3368715151154734E-3</v>
      </c>
      <c r="E623" s="60">
        <f>LN('Price Data'!E624/'Price Data'!E623)</f>
        <v>8.5824466847920378E-3</v>
      </c>
      <c r="F623" s="60">
        <f>LN('Price Data'!F624/'Price Data'!F623)</f>
        <v>2.267867623658603E-2</v>
      </c>
    </row>
    <row r="624" spans="1:6" x14ac:dyDescent="0.35">
      <c r="A624" s="2">
        <v>45482</v>
      </c>
      <c r="B624" s="60">
        <f>LN('Price Data'!B625/'Price Data'!B624)</f>
        <v>-6.6558697447364444E-3</v>
      </c>
      <c r="C624" s="60">
        <f>LN('Price Data'!C625/'Price Data'!C624)</f>
        <v>-1.9301395942921734E-3</v>
      </c>
      <c r="D624" s="60">
        <f>LN('Price Data'!D625/'Price Data'!D624)</f>
        <v>1.0631115308210645E-2</v>
      </c>
      <c r="E624" s="60">
        <f>LN('Price Data'!E625/'Price Data'!E624)</f>
        <v>-2.7118252125756842E-3</v>
      </c>
      <c r="F624" s="60">
        <f>LN('Price Data'!F625/'Price Data'!F624)</f>
        <v>2.009928245308916E-2</v>
      </c>
    </row>
    <row r="625" spans="1:6" x14ac:dyDescent="0.35">
      <c r="A625" s="2">
        <v>45483</v>
      </c>
      <c r="B625" s="60">
        <f>LN('Price Data'!B626/'Price Data'!B625)</f>
        <v>-3.8179287202210923E-3</v>
      </c>
      <c r="C625" s="60">
        <f>LN('Price Data'!C626/'Price Data'!C625)</f>
        <v>-1.9342815825828946E-2</v>
      </c>
      <c r="D625" s="60">
        <f>LN('Price Data'!D626/'Price Data'!D625)</f>
        <v>-4.0538697673355986E-3</v>
      </c>
      <c r="E625" s="60">
        <f>LN('Price Data'!E626/'Price Data'!E625)</f>
        <v>-5.385140381271844E-3</v>
      </c>
      <c r="F625" s="60">
        <f>LN('Price Data'!F626/'Price Data'!F625)</f>
        <v>-2.548963671823994E-3</v>
      </c>
    </row>
    <row r="626" spans="1:6" x14ac:dyDescent="0.35">
      <c r="A626" s="2">
        <v>45484</v>
      </c>
      <c r="B626" s="60">
        <f>LN('Price Data'!B627/'Price Data'!B626)</f>
        <v>-2.2560177916695506E-3</v>
      </c>
      <c r="C626" s="60">
        <f>LN('Price Data'!C627/'Price Data'!C626)</f>
        <v>3.7151271210673778E-3</v>
      </c>
      <c r="D626" s="60">
        <f>LN('Price Data'!D627/'Price Data'!D626)</f>
        <v>-3.8281029159530976E-3</v>
      </c>
      <c r="E626" s="60">
        <f>LN('Price Data'!E627/'Price Data'!E626)</f>
        <v>2.6961951533714251E-3</v>
      </c>
      <c r="F626" s="60">
        <f>LN('Price Data'!F627/'Price Data'!F626)</f>
        <v>1.5819696443648775E-2</v>
      </c>
    </row>
    <row r="627" spans="1:6" x14ac:dyDescent="0.35">
      <c r="A627" s="2">
        <v>45485</v>
      </c>
      <c r="B627" s="60">
        <f>LN('Price Data'!B628/'Price Data'!B627)</f>
        <v>1.0115370274320046E-2</v>
      </c>
      <c r="C627" s="60">
        <f>LN('Price Data'!C628/'Price Data'!C627)</f>
        <v>6.4220690223330268E-2</v>
      </c>
      <c r="D627" s="60">
        <f>LN('Price Data'!D628/'Price Data'!D627)</f>
        <v>-4.4914798229228076E-3</v>
      </c>
      <c r="E627" s="60">
        <f>LN('Price Data'!E628/'Price Data'!E627)</f>
        <v>3.5105924854391714E-2</v>
      </c>
      <c r="F627" s="60">
        <f>LN('Price Data'!F628/'Price Data'!F627)</f>
        <v>8.7541472601316412E-4</v>
      </c>
    </row>
    <row r="628" spans="1:6" x14ac:dyDescent="0.35">
      <c r="A628" s="2">
        <v>45488</v>
      </c>
      <c r="B628" s="60">
        <f>LN('Price Data'!B629/'Price Data'!B628)</f>
        <v>3.1309292227431936E-4</v>
      </c>
      <c r="C628" s="60">
        <f>LN('Price Data'!C629/'Price Data'!C628)</f>
        <v>-3.5316055213794641E-3</v>
      </c>
      <c r="D628" s="60">
        <f>LN('Price Data'!D629/'Price Data'!D628)</f>
        <v>-2.395599740798119E-3</v>
      </c>
      <c r="E628" s="60">
        <f>LN('Price Data'!E629/'Price Data'!E628)</f>
        <v>-2.7495044816377044E-3</v>
      </c>
      <c r="F628" s="60">
        <f>LN('Price Data'!F629/'Price Data'!F628)</f>
        <v>9.4196536754424104E-3</v>
      </c>
    </row>
    <row r="629" spans="1:6" x14ac:dyDescent="0.35">
      <c r="A629" s="2">
        <v>45489</v>
      </c>
      <c r="B629" s="60">
        <f>LN('Price Data'!B630/'Price Data'!B629)</f>
        <v>-1.3216009744886811E-2</v>
      </c>
      <c r="C629" s="60">
        <f>LN('Price Data'!C630/'Price Data'!C629)</f>
        <v>2.2161934882171516E-3</v>
      </c>
      <c r="D629" s="60">
        <f>LN('Price Data'!D630/'Price Data'!D629)</f>
        <v>8.0572130520874599E-3</v>
      </c>
      <c r="E629" s="60">
        <f>LN('Price Data'!E630/'Price Data'!E629)</f>
        <v>1.106882641804257E-2</v>
      </c>
      <c r="F629" s="60">
        <f>LN('Price Data'!F630/'Price Data'!F629)</f>
        <v>4.6427029228404077E-3</v>
      </c>
    </row>
    <row r="630" spans="1:6" x14ac:dyDescent="0.35">
      <c r="A630" s="2">
        <v>45491</v>
      </c>
      <c r="B630" s="60">
        <f>LN('Price Data'!B631/'Price Data'!B630)</f>
        <v>6.5951746042631721E-3</v>
      </c>
      <c r="C630" s="60">
        <f>LN('Price Data'!C631/'Price Data'!C630)</f>
        <v>3.2284414382182214E-2</v>
      </c>
      <c r="D630" s="60">
        <f>LN('Price Data'!D631/'Price Data'!D630)</f>
        <v>8.35279131515748E-3</v>
      </c>
      <c r="E630" s="60">
        <f>LN('Price Data'!E631/'Price Data'!E630)</f>
        <v>1.836967931378982E-2</v>
      </c>
      <c r="F630" s="60">
        <f>LN('Price Data'!F631/'Price Data'!F630)</f>
        <v>1.0030808847538007E-2</v>
      </c>
    </row>
    <row r="631" spans="1:6" x14ac:dyDescent="0.35">
      <c r="A631" s="2">
        <v>45492</v>
      </c>
      <c r="B631" s="60">
        <f>LN('Price Data'!B632/'Price Data'!B631)</f>
        <v>-2.0071778899808119E-2</v>
      </c>
      <c r="C631" s="60">
        <f>LN('Price Data'!C632/'Price Data'!C631)</f>
        <v>-3.0517722209663844E-3</v>
      </c>
      <c r="D631" s="60">
        <f>LN('Price Data'!D632/'Price Data'!D631)</f>
        <v>-1.320554824851447E-3</v>
      </c>
      <c r="E631" s="60">
        <f>LN('Price Data'!E632/'Price Data'!E631)</f>
        <v>1.9657067740732684E-2</v>
      </c>
      <c r="F631" s="60">
        <f>LN('Price Data'!F632/'Price Data'!F631)</f>
        <v>9.1073476582349683E-3</v>
      </c>
    </row>
    <row r="632" spans="1:6" x14ac:dyDescent="0.35">
      <c r="A632" s="2">
        <v>45495</v>
      </c>
      <c r="B632" s="60">
        <f>LN('Price Data'!B633/'Price Data'!B632)</f>
        <v>-3.5653665284460713E-2</v>
      </c>
      <c r="C632" s="60">
        <f>LN('Price Data'!C633/'Price Data'!C632)</f>
        <v>-3.5041800751494305E-3</v>
      </c>
      <c r="D632" s="60">
        <f>LN('Price Data'!D633/'Price Data'!D632)</f>
        <v>-6.0245985098025734E-3</v>
      </c>
      <c r="E632" s="60">
        <f>LN('Price Data'!E633/'Price Data'!E632)</f>
        <v>9.9340402936435382E-3</v>
      </c>
      <c r="F632" s="60">
        <f>LN('Price Data'!F633/'Price Data'!F632)</f>
        <v>-1.7006104619643882E-2</v>
      </c>
    </row>
    <row r="633" spans="1:6" x14ac:dyDescent="0.35">
      <c r="A633" s="2">
        <v>45496</v>
      </c>
      <c r="B633" s="60">
        <f>LN('Price Data'!B634/'Price Data'!B633)</f>
        <v>-8.5526088654719907E-3</v>
      </c>
      <c r="C633" s="60">
        <f>LN('Price Data'!C634/'Price Data'!C633)</f>
        <v>3.4925585870177766E-3</v>
      </c>
      <c r="D633" s="60">
        <f>LN('Price Data'!D634/'Price Data'!D633)</f>
        <v>-1.1669973196287115E-2</v>
      </c>
      <c r="E633" s="60">
        <f>LN('Price Data'!E634/'Price Data'!E633)</f>
        <v>1.4283019866275391E-2</v>
      </c>
      <c r="F633" s="60">
        <f>LN('Price Data'!F634/'Price Data'!F633)</f>
        <v>5.3530458367027398E-2</v>
      </c>
    </row>
    <row r="634" spans="1:6" x14ac:dyDescent="0.35">
      <c r="A634" s="2">
        <v>45497</v>
      </c>
      <c r="B634" s="60">
        <f>LN('Price Data'!B635/'Price Data'!B634)</f>
        <v>5.2285948316291167E-3</v>
      </c>
      <c r="C634" s="60">
        <f>LN('Price Data'!C635/'Price Data'!C634)</f>
        <v>9.0607073549999167E-4</v>
      </c>
      <c r="D634" s="60">
        <f>LN('Price Data'!D635/'Price Data'!D634)</f>
        <v>-3.0615392828404354E-3</v>
      </c>
      <c r="E634" s="60">
        <f>LN('Price Data'!E635/'Price Data'!E634)</f>
        <v>-1.6072575207679923E-3</v>
      </c>
      <c r="F634" s="60">
        <f>LN('Price Data'!F635/'Price Data'!F634)</f>
        <v>3.7513039564575044E-3</v>
      </c>
    </row>
    <row r="635" spans="1:6" x14ac:dyDescent="0.35">
      <c r="A635" s="2">
        <v>45498</v>
      </c>
      <c r="B635" s="60">
        <f>LN('Price Data'!B636/'Price Data'!B635)</f>
        <v>-2.208762318278061E-3</v>
      </c>
      <c r="C635" s="60">
        <f>LN('Price Data'!C636/'Price Data'!C635)</f>
        <v>3.7664827954768648E-3</v>
      </c>
      <c r="D635" s="60">
        <f>LN('Price Data'!D636/'Price Data'!D635)</f>
        <v>-2.0736832949886957E-2</v>
      </c>
      <c r="E635" s="60">
        <f>LN('Price Data'!E636/'Price Data'!E635)</f>
        <v>-4.9743187734101928E-3</v>
      </c>
      <c r="F635" s="60">
        <f>LN('Price Data'!F636/'Price Data'!F635)</f>
        <v>-8.3362462817505832E-3</v>
      </c>
    </row>
    <row r="636" spans="1:6" x14ac:dyDescent="0.35">
      <c r="A636" s="2">
        <v>45499</v>
      </c>
      <c r="B636" s="60">
        <f>LN('Price Data'!B637/'Price Data'!B636)</f>
        <v>1.1081497938933029E-2</v>
      </c>
      <c r="C636" s="60">
        <f>LN('Price Data'!C637/'Price Data'!C636)</f>
        <v>1.5005419114824739E-2</v>
      </c>
      <c r="D636" s="60">
        <f>LN('Price Data'!D637/'Price Data'!D636)</f>
        <v>7.7336047163536785E-3</v>
      </c>
      <c r="E636" s="60">
        <f>LN('Price Data'!E637/'Price Data'!E636)</f>
        <v>2.9188707341636467E-2</v>
      </c>
      <c r="F636" s="60">
        <f>LN('Price Data'!F637/'Price Data'!F636)</f>
        <v>2.4697874765070352E-2</v>
      </c>
    </row>
    <row r="637" spans="1:6" x14ac:dyDescent="0.35">
      <c r="A637" s="2">
        <v>45502</v>
      </c>
      <c r="B637" s="60">
        <f>LN('Price Data'!B638/'Price Data'!B637)</f>
        <v>7.3090618640378035E-3</v>
      </c>
      <c r="C637" s="60">
        <f>LN('Price Data'!C638/'Price Data'!C637)</f>
        <v>-1.5395232800276123E-3</v>
      </c>
      <c r="D637" s="60">
        <f>LN('Price Data'!D638/'Price Data'!D637)</f>
        <v>4.5456502091070243E-3</v>
      </c>
      <c r="E637" s="60">
        <f>LN('Price Data'!E638/'Price Data'!E637)</f>
        <v>-4.160005999290335E-3</v>
      </c>
      <c r="F637" s="60">
        <f>LN('Price Data'!F638/'Price Data'!F637)</f>
        <v>-1.2325964008570786E-2</v>
      </c>
    </row>
    <row r="638" spans="1:6" x14ac:dyDescent="0.35">
      <c r="A638" s="2">
        <v>45503</v>
      </c>
      <c r="B638" s="60">
        <f>LN('Price Data'!B639/'Price Data'!B638)</f>
        <v>-4.5825514958326144E-3</v>
      </c>
      <c r="C638" s="60">
        <f>LN('Price Data'!C639/'Price Data'!C638)</f>
        <v>-3.601465056987494E-3</v>
      </c>
      <c r="D638" s="60">
        <f>LN('Price Data'!D639/'Price Data'!D638)</f>
        <v>-2.683567863605402E-3</v>
      </c>
      <c r="E638" s="60">
        <f>LN('Price Data'!E639/'Price Data'!E638)</f>
        <v>3.2281759509000894E-3</v>
      </c>
      <c r="F638" s="60">
        <f>LN('Price Data'!F639/'Price Data'!F638)</f>
        <v>-1.2479791440567862E-2</v>
      </c>
    </row>
    <row r="639" spans="1:6" x14ac:dyDescent="0.35">
      <c r="A639" s="2">
        <v>45504</v>
      </c>
      <c r="B639" s="60">
        <f>LN('Price Data'!B640/'Price Data'!B639)</f>
        <v>-5.1149989940043224E-3</v>
      </c>
      <c r="C639" s="60">
        <f>LN('Price Data'!C640/'Price Data'!C639)</f>
        <v>4.5710708456395913E-3</v>
      </c>
      <c r="D639" s="60">
        <f>LN('Price Data'!D640/'Price Data'!D639)</f>
        <v>4.4960580615556744E-3</v>
      </c>
      <c r="E639" s="60">
        <f>LN('Price Data'!E640/'Price Data'!E639)</f>
        <v>-4.7525053406871831E-3</v>
      </c>
      <c r="F639" s="60">
        <f>LN('Price Data'!F640/'Price Data'!F639)</f>
        <v>1.1072361686340761E-2</v>
      </c>
    </row>
    <row r="640" spans="1:6" x14ac:dyDescent="0.35">
      <c r="A640" s="2">
        <v>45505</v>
      </c>
      <c r="B640" s="60">
        <f>LN('Price Data'!B641/'Price Data'!B640)</f>
        <v>6.5348674819797406E-3</v>
      </c>
      <c r="C640" s="60">
        <f>LN('Price Data'!C641/'Price Data'!C640)</f>
        <v>2.6757925204700795E-3</v>
      </c>
      <c r="D640" s="60">
        <f>LN('Price Data'!D641/'Price Data'!D640)</f>
        <v>-3.9587680566897966E-3</v>
      </c>
      <c r="E640" s="60">
        <f>LN('Price Data'!E641/'Price Data'!E640)</f>
        <v>-8.4121059904723895E-3</v>
      </c>
      <c r="F640" s="60">
        <f>LN('Price Data'!F641/'Price Data'!F640)</f>
        <v>-3.3345476893247594E-3</v>
      </c>
    </row>
    <row r="641" spans="1:6" x14ac:dyDescent="0.35">
      <c r="A641" s="2">
        <v>45506</v>
      </c>
      <c r="B641" s="60">
        <f>LN('Price Data'!B642/'Price Data'!B641)</f>
        <v>-1.0601767171769666E-2</v>
      </c>
      <c r="C641" s="60">
        <f>LN('Price Data'!C642/'Price Data'!C641)</f>
        <v>-2.6279860093896826E-2</v>
      </c>
      <c r="D641" s="60">
        <f>LN('Price Data'!D642/'Price Data'!D641)</f>
        <v>-1.1260584778758546E-2</v>
      </c>
      <c r="E641" s="60">
        <f>LN('Price Data'!E642/'Price Data'!E641)</f>
        <v>-1.7094433359300068E-2</v>
      </c>
      <c r="F641" s="60">
        <f>LN('Price Data'!F642/'Price Data'!F641)</f>
        <v>-9.3574224059039136E-3</v>
      </c>
    </row>
    <row r="642" spans="1:6" x14ac:dyDescent="0.35">
      <c r="A642" s="2">
        <v>45509</v>
      </c>
      <c r="B642" s="60">
        <f>LN('Price Data'!B643/'Price Data'!B642)</f>
        <v>-3.529810158719509E-2</v>
      </c>
      <c r="C642" s="60">
        <f>LN('Price Data'!C643/'Price Data'!C642)</f>
        <v>-3.034091069597938E-2</v>
      </c>
      <c r="D642" s="60">
        <f>LN('Price Data'!D643/'Price Data'!D642)</f>
        <v>-2.0218910495133545E-2</v>
      </c>
      <c r="E642" s="60">
        <f>LN('Price Data'!E643/'Price Data'!E642)</f>
        <v>-3.8794711218850662E-2</v>
      </c>
      <c r="F642" s="60">
        <f>LN('Price Data'!F643/'Price Data'!F642)</f>
        <v>-6.3742817134677708E-3</v>
      </c>
    </row>
    <row r="643" spans="1:6" x14ac:dyDescent="0.35">
      <c r="A643" s="2">
        <v>45510</v>
      </c>
      <c r="B643" s="60">
        <f>LN('Price Data'!B644/'Price Data'!B643)</f>
        <v>6.0137194431932441E-3</v>
      </c>
      <c r="C643" s="60">
        <f>LN('Price Data'!C644/'Price Data'!C643)</f>
        <v>3.8793022677487254E-3</v>
      </c>
      <c r="D643" s="60">
        <f>LN('Price Data'!D644/'Price Data'!D643)</f>
        <v>-4.9156952092219673E-3</v>
      </c>
      <c r="E643" s="60">
        <f>LN('Price Data'!E644/'Price Data'!E643)</f>
        <v>-4.5675136392135109E-4</v>
      </c>
      <c r="F643" s="60">
        <f>LN('Price Data'!F644/'Price Data'!F643)</f>
        <v>6.3056502888412917E-4</v>
      </c>
    </row>
    <row r="644" spans="1:6" x14ac:dyDescent="0.35">
      <c r="A644" s="2">
        <v>45511</v>
      </c>
      <c r="B644" s="60">
        <f>LN('Price Data'!B645/'Price Data'!B644)</f>
        <v>6.0050781818695156E-3</v>
      </c>
      <c r="C644" s="60">
        <f>LN('Price Data'!C645/'Price Data'!C644)</f>
        <v>6.9878982099793041E-3</v>
      </c>
      <c r="D644" s="60">
        <f>LN('Price Data'!D645/'Price Data'!D644)</f>
        <v>4.787766167022962E-3</v>
      </c>
      <c r="E644" s="60">
        <f>LN('Price Data'!E645/'Price Data'!E644)</f>
        <v>2.2892821081050528E-2</v>
      </c>
      <c r="F644" s="60">
        <f>LN('Price Data'!F645/'Price Data'!F644)</f>
        <v>1.2957745278795976E-2</v>
      </c>
    </row>
    <row r="645" spans="1:6" x14ac:dyDescent="0.35">
      <c r="A645" s="2">
        <v>45512</v>
      </c>
      <c r="B645" s="60">
        <f>LN('Price Data'!B646/'Price Data'!B645)</f>
        <v>-1.0768991665626802E-2</v>
      </c>
      <c r="C645" s="60">
        <f>LN('Price Data'!C646/'Price Data'!C645)</f>
        <v>-6.6643027015375021E-3</v>
      </c>
      <c r="D645" s="60">
        <f>LN('Price Data'!D646/'Price Data'!D645)</f>
        <v>-6.7178960848960365E-3</v>
      </c>
      <c r="E645" s="60">
        <f>LN('Price Data'!E646/'Price Data'!E645)</f>
        <v>-2.744316162191314E-2</v>
      </c>
      <c r="F645" s="60">
        <f>LN('Price Data'!F646/'Price Data'!F645)</f>
        <v>4.260837843591176E-3</v>
      </c>
    </row>
    <row r="646" spans="1:6" x14ac:dyDescent="0.35">
      <c r="A646" s="2">
        <v>45513</v>
      </c>
      <c r="B646" s="60">
        <f>LN('Price Data'!B647/'Price Data'!B646)</f>
        <v>1.7219924513186213E-2</v>
      </c>
      <c r="C646" s="60">
        <f>LN('Price Data'!C647/'Price Data'!C646)</f>
        <v>1.3379081407239195E-2</v>
      </c>
      <c r="D646" s="60">
        <f>LN('Price Data'!D647/'Price Data'!D646)</f>
        <v>5.9926555505588975E-3</v>
      </c>
      <c r="E646" s="60">
        <f>LN('Price Data'!E647/'Price Data'!E646)</f>
        <v>1.5709364296739515E-2</v>
      </c>
      <c r="F646" s="60">
        <f>LN('Price Data'!F647/'Price Data'!F646)</f>
        <v>2.3261531877846933E-3</v>
      </c>
    </row>
    <row r="647" spans="1:6" x14ac:dyDescent="0.35">
      <c r="A647" s="2">
        <v>45516</v>
      </c>
      <c r="B647" s="60">
        <f>LN('Price Data'!B648/'Price Data'!B647)</f>
        <v>-9.315451376383968E-3</v>
      </c>
      <c r="C647" s="60">
        <f>LN('Price Data'!C648/'Price Data'!C647)</f>
        <v>-7.8581668318399318E-3</v>
      </c>
      <c r="D647" s="60">
        <f>LN('Price Data'!D648/'Price Data'!D647)</f>
        <v>1.0237161788086264E-3</v>
      </c>
      <c r="E647" s="60">
        <f>LN('Price Data'!E648/'Price Data'!E647)</f>
        <v>1.4937990590541163E-2</v>
      </c>
      <c r="F647" s="60">
        <f>LN('Price Data'!F648/'Price Data'!F647)</f>
        <v>-2.625317666371254E-3</v>
      </c>
    </row>
    <row r="648" spans="1:6" x14ac:dyDescent="0.35">
      <c r="A648" s="2">
        <v>45517</v>
      </c>
      <c r="B648" s="60">
        <f>LN('Price Data'!B649/'Price Data'!B648)</f>
        <v>2.0518018592551018E-3</v>
      </c>
      <c r="C648" s="60">
        <f>LN('Price Data'!C649/'Price Data'!C648)</f>
        <v>3.0979672816467015E-4</v>
      </c>
      <c r="D648" s="60">
        <f>LN('Price Data'!D649/'Price Data'!D648)</f>
        <v>-3.8015550983198886E-3</v>
      </c>
      <c r="E648" s="60">
        <f>LN('Price Data'!E649/'Price Data'!E648)</f>
        <v>2.7817572362280521E-5</v>
      </c>
      <c r="F648" s="60">
        <f>LN('Price Data'!F649/'Price Data'!F648)</f>
        <v>-9.3403438191791404E-3</v>
      </c>
    </row>
    <row r="649" spans="1:6" x14ac:dyDescent="0.35">
      <c r="A649" s="2">
        <v>45518</v>
      </c>
      <c r="B649" s="60">
        <f>LN('Price Data'!B650/'Price Data'!B649)</f>
        <v>-1.2168944717837924E-3</v>
      </c>
      <c r="C649" s="60">
        <f>LN('Price Data'!C650/'Price Data'!C649)</f>
        <v>2.3151689950833509E-2</v>
      </c>
      <c r="D649" s="60">
        <f>LN('Price Data'!D650/'Price Data'!D649)</f>
        <v>-5.7510888127701998E-3</v>
      </c>
      <c r="E649" s="60">
        <f>LN('Price Data'!E650/'Price Data'!E649)</f>
        <v>1.4251629067707005E-2</v>
      </c>
      <c r="F649" s="60">
        <f>LN('Price Data'!F650/'Price Data'!F649)</f>
        <v>4.4770732782115378E-3</v>
      </c>
    </row>
    <row r="650" spans="1:6" x14ac:dyDescent="0.35">
      <c r="A650" s="2">
        <v>45520</v>
      </c>
      <c r="B650" s="60">
        <f>LN('Price Data'!B651/'Price Data'!B650)</f>
        <v>1.1122374483925009E-2</v>
      </c>
      <c r="C650" s="60">
        <f>LN('Price Data'!C651/'Price Data'!C650)</f>
        <v>2.7735870414524369E-2</v>
      </c>
      <c r="D650" s="60">
        <f>LN('Price Data'!D651/'Price Data'!D650)</f>
        <v>2.1798300207934239E-2</v>
      </c>
      <c r="E650" s="60">
        <f>LN('Price Data'!E651/'Price Data'!E650)</f>
        <v>1.9391189314650583E-2</v>
      </c>
      <c r="F650" s="60">
        <f>LN('Price Data'!F651/'Price Data'!F650)</f>
        <v>2.0996584927320885E-2</v>
      </c>
    </row>
    <row r="651" spans="1:6" x14ac:dyDescent="0.35">
      <c r="A651" s="2">
        <v>45523</v>
      </c>
      <c r="B651" s="60">
        <f>LN('Price Data'!B652/'Price Data'!B651)</f>
        <v>6.8765861216811743E-3</v>
      </c>
      <c r="C651" s="60">
        <f>LN('Price Data'!C652/'Price Data'!C651)</f>
        <v>1.6607070379699173E-2</v>
      </c>
      <c r="D651" s="60">
        <f>LN('Price Data'!D652/'Price Data'!D651)</f>
        <v>-9.6058965998610038E-3</v>
      </c>
      <c r="E651" s="60">
        <f>LN('Price Data'!E652/'Price Data'!E651)</f>
        <v>3.1419965425544551E-3</v>
      </c>
      <c r="F651" s="60">
        <f>LN('Price Data'!F652/'Price Data'!F651)</f>
        <v>-2.3792239797235559E-3</v>
      </c>
    </row>
    <row r="652" spans="1:6" x14ac:dyDescent="0.35">
      <c r="A652" s="2">
        <v>45524</v>
      </c>
      <c r="B652" s="60">
        <f>LN('Price Data'!B653/'Price Data'!B652)</f>
        <v>5.0597390435192053E-3</v>
      </c>
      <c r="C652" s="60">
        <f>LN('Price Data'!C653/'Price Data'!C652)</f>
        <v>7.3891142005948702E-3</v>
      </c>
      <c r="D652" s="60">
        <f>LN('Price Data'!D653/'Price Data'!D652)</f>
        <v>3.0144162762647123E-3</v>
      </c>
      <c r="E652" s="60">
        <f>LN('Price Data'!E653/'Price Data'!E652)</f>
        <v>3.9604012160969143E-3</v>
      </c>
      <c r="F652" s="60">
        <f>LN('Price Data'!F653/'Price Data'!F652)</f>
        <v>-5.3051643581394532E-3</v>
      </c>
    </row>
    <row r="653" spans="1:6" x14ac:dyDescent="0.35">
      <c r="A653" s="2">
        <v>45525</v>
      </c>
      <c r="B653" s="60">
        <f>LN('Price Data'!B654/'Price Data'!B653)</f>
        <v>1.8232641470074613E-3</v>
      </c>
      <c r="C653" s="60">
        <f>LN('Price Data'!C654/'Price Data'!C653)</f>
        <v>6.2150330084485015E-3</v>
      </c>
      <c r="D653" s="60">
        <f>LN('Price Data'!D654/'Price Data'!D653)</f>
        <v>-3.9077482510205975E-3</v>
      </c>
      <c r="E653" s="60">
        <f>LN('Price Data'!E654/'Price Data'!E653)</f>
        <v>2.6702982881838817E-4</v>
      </c>
      <c r="F653" s="60">
        <f>LN('Price Data'!F654/'Price Data'!F653)</f>
        <v>1.3137307618991179E-2</v>
      </c>
    </row>
    <row r="654" spans="1:6" x14ac:dyDescent="0.35">
      <c r="A654" s="2">
        <v>45526</v>
      </c>
      <c r="B654" s="60">
        <f>LN('Price Data'!B655/'Price Data'!B654)</f>
        <v>-3.6705697469979081E-4</v>
      </c>
      <c r="C654" s="60">
        <f>LN('Price Data'!C655/'Price Data'!C654)</f>
        <v>-1.0935106478665907E-2</v>
      </c>
      <c r="D654" s="60">
        <f>LN('Price Data'!D655/'Price Data'!D654)</f>
        <v>1.373677003224095E-2</v>
      </c>
      <c r="E654" s="60">
        <f>LN('Price Data'!E655/'Price Data'!E654)</f>
        <v>4.0235069400496601E-3</v>
      </c>
      <c r="F654" s="60">
        <f>LN('Price Data'!F655/'Price Data'!F654)</f>
        <v>-1.674656563532204E-3</v>
      </c>
    </row>
    <row r="655" spans="1:6" x14ac:dyDescent="0.35">
      <c r="A655" s="2">
        <v>45527</v>
      </c>
      <c r="B655" s="60">
        <f>LN('Price Data'!B656/'Price Data'!B655)</f>
        <v>1.2274442020045722E-3</v>
      </c>
      <c r="C655" s="60">
        <f>LN('Price Data'!C656/'Price Data'!C655)</f>
        <v>-8.4989190901384407E-3</v>
      </c>
      <c r="D655" s="60">
        <f>LN('Price Data'!D656/'Price Data'!D655)</f>
        <v>1.0356728336271416E-2</v>
      </c>
      <c r="E655" s="60">
        <f>LN('Price Data'!E656/'Price Data'!E655)</f>
        <v>-9.6998636187957867E-3</v>
      </c>
      <c r="F655" s="60">
        <f>LN('Price Data'!F656/'Price Data'!F655)</f>
        <v>2.4691370569213276E-3</v>
      </c>
    </row>
    <row r="656" spans="1:6" x14ac:dyDescent="0.35">
      <c r="A656" s="2">
        <v>45530</v>
      </c>
      <c r="B656" s="60">
        <f>LN('Price Data'!B657/'Price Data'!B656)</f>
        <v>8.3849165316303188E-3</v>
      </c>
      <c r="C656" s="60">
        <f>LN('Price Data'!C657/'Price Data'!C656)</f>
        <v>8.5988696702125576E-3</v>
      </c>
      <c r="D656" s="60">
        <f>LN('Price Data'!D657/'Price Data'!D656)</f>
        <v>8.1099418347007103E-3</v>
      </c>
      <c r="E656" s="60">
        <f>LN('Price Data'!E657/'Price Data'!E656)</f>
        <v>7.5169216381111466E-3</v>
      </c>
      <c r="F656" s="60">
        <f>LN('Price Data'!F657/'Price Data'!F656)</f>
        <v>-1.8810939661910014E-4</v>
      </c>
    </row>
    <row r="657" spans="1:6" x14ac:dyDescent="0.35">
      <c r="A657" s="2">
        <v>45531</v>
      </c>
      <c r="B657" s="60">
        <f>LN('Price Data'!B658/'Price Data'!B657)</f>
        <v>-8.0649613226296251E-3</v>
      </c>
      <c r="C657" s="60">
        <f>LN('Price Data'!C658/'Price Data'!C657)</f>
        <v>-1.1778302619487801E-3</v>
      </c>
      <c r="D657" s="60">
        <f>LN('Price Data'!D658/'Price Data'!D657)</f>
        <v>1.0698357936118286E-2</v>
      </c>
      <c r="E657" s="60">
        <f>LN('Price Data'!E658/'Price Data'!E657)</f>
        <v>1.2684711622658496E-2</v>
      </c>
      <c r="F657" s="60">
        <f>LN('Price Data'!F658/'Price Data'!F657)</f>
        <v>-1.0147465667574173E-2</v>
      </c>
    </row>
    <row r="658" spans="1:6" x14ac:dyDescent="0.35">
      <c r="A658" s="2">
        <v>45532</v>
      </c>
      <c r="B658" s="60">
        <f>LN('Price Data'!B659/'Price Data'!B658)</f>
        <v>-1.4339310502010213E-3</v>
      </c>
      <c r="C658" s="60">
        <f>LN('Price Data'!C659/'Price Data'!C658)</f>
        <v>1.97707546184628E-3</v>
      </c>
      <c r="D658" s="60">
        <f>LN('Price Data'!D659/'Price Data'!D658)</f>
        <v>-2.0406504510268033E-3</v>
      </c>
      <c r="E658" s="60">
        <f>LN('Price Data'!E659/'Price Data'!E658)</f>
        <v>2.0317431540086025E-2</v>
      </c>
      <c r="F658" s="60">
        <f>LN('Price Data'!F659/'Price Data'!F658)</f>
        <v>-6.6100535160731836E-3</v>
      </c>
    </row>
    <row r="659" spans="1:6" x14ac:dyDescent="0.35">
      <c r="A659" s="2">
        <v>45533</v>
      </c>
      <c r="B659" s="60">
        <f>LN('Price Data'!B660/'Price Data'!B659)</f>
        <v>1.4990857797418815E-2</v>
      </c>
      <c r="C659" s="60">
        <f>LN('Price Data'!C660/'Price Data'!C659)</f>
        <v>1.2752487076740327E-3</v>
      </c>
      <c r="D659" s="60">
        <f>LN('Price Data'!D660/'Price Data'!D659)</f>
        <v>-1.594603220442184E-3</v>
      </c>
      <c r="E659" s="60">
        <f>LN('Price Data'!E660/'Price Data'!E659)</f>
        <v>-2.9696983696740251E-3</v>
      </c>
      <c r="F659" s="60">
        <f>LN('Price Data'!F660/'Price Data'!F659)</f>
        <v>1.5565337245177136E-2</v>
      </c>
    </row>
    <row r="660" spans="1:6" x14ac:dyDescent="0.35">
      <c r="A660" s="2">
        <v>45534</v>
      </c>
      <c r="B660" s="60">
        <f>LN('Price Data'!B661/'Price Data'!B660)</f>
        <v>-7.4574021756480067E-3</v>
      </c>
      <c r="C660" s="60">
        <f>LN('Price Data'!C661/'Price Data'!C660)</f>
        <v>9.2548823684503734E-3</v>
      </c>
      <c r="D660" s="60">
        <f>LN('Price Data'!D661/'Price Data'!D660)</f>
        <v>5.956526933853074E-3</v>
      </c>
      <c r="E660" s="60">
        <f>LN('Price Data'!E661/'Price Data'!E660)</f>
        <v>5.3391236051231576E-3</v>
      </c>
      <c r="F660" s="60">
        <f>LN('Price Data'!F661/'Price Data'!F660)</f>
        <v>-6.361357962438874E-3</v>
      </c>
    </row>
    <row r="661" spans="1:6" x14ac:dyDescent="0.35">
      <c r="A661" s="2">
        <v>45537</v>
      </c>
      <c r="B661" s="60">
        <f>LN('Price Data'!B662/'Price Data'!B661)</f>
        <v>4.3755935873905916E-3</v>
      </c>
      <c r="C661" s="60">
        <f>LN('Price Data'!C662/'Price Data'!C661)</f>
        <v>-7.2068015892135648E-3</v>
      </c>
      <c r="D661" s="60">
        <f>LN('Price Data'!D662/'Price Data'!D661)</f>
        <v>6.0996687737935958E-4</v>
      </c>
      <c r="E661" s="60">
        <f>LN('Price Data'!E662/'Price Data'!E661)</f>
        <v>1.0644386874493258E-2</v>
      </c>
      <c r="F661" s="60">
        <f>LN('Price Data'!F662/'Price Data'!F661)</f>
        <v>1.6107983217360691E-2</v>
      </c>
    </row>
    <row r="662" spans="1:6" x14ac:dyDescent="0.35">
      <c r="A662" s="2">
        <v>45538</v>
      </c>
      <c r="B662" s="60">
        <f>LN('Price Data'!B663/'Price Data'!B662)</f>
        <v>-4.7068554330307009E-3</v>
      </c>
      <c r="C662" s="60">
        <f>LN('Price Data'!C663/'Price Data'!C662)</f>
        <v>-1.9261856421475888E-3</v>
      </c>
      <c r="D662" s="60">
        <f>LN('Price Data'!D663/'Price Data'!D662)</f>
        <v>1.4328338283266686E-2</v>
      </c>
      <c r="E662" s="60">
        <f>LN('Price Data'!E663/'Price Data'!E662)</f>
        <v>-1.1905664535617618E-2</v>
      </c>
      <c r="F662" s="60">
        <f>LN('Price Data'!F663/'Price Data'!F662)</f>
        <v>-1.2650223065867451E-3</v>
      </c>
    </row>
    <row r="663" spans="1:6" x14ac:dyDescent="0.35">
      <c r="A663" s="2">
        <v>45539</v>
      </c>
      <c r="B663" s="60">
        <f>LN('Price Data'!B664/'Price Data'!B663)</f>
        <v>3.585039293210481E-3</v>
      </c>
      <c r="C663" s="60">
        <f>LN('Price Data'!C664/'Price Data'!C663)</f>
        <v>-7.3624604114049547E-3</v>
      </c>
      <c r="D663" s="60">
        <f>LN('Price Data'!D664/'Price Data'!D663)</f>
        <v>-9.1383659637921232E-3</v>
      </c>
      <c r="E663" s="60">
        <f>LN('Price Data'!E664/'Price Data'!E663)</f>
        <v>-9.7316812236472282E-3</v>
      </c>
      <c r="F663" s="60">
        <f>LN('Price Data'!F664/'Price Data'!F663)</f>
        <v>-6.0151496265673588E-3</v>
      </c>
    </row>
    <row r="664" spans="1:6" x14ac:dyDescent="0.35">
      <c r="A664" s="2">
        <v>45540</v>
      </c>
      <c r="B664" s="60">
        <f>LN('Price Data'!B665/'Price Data'!B664)</f>
        <v>-1.4350940552062793E-2</v>
      </c>
      <c r="C664" s="60">
        <f>LN('Price Data'!C665/'Price Data'!C664)</f>
        <v>-7.3700199869854459E-4</v>
      </c>
      <c r="D664" s="60">
        <f>LN('Price Data'!D665/'Price Data'!D664)</f>
        <v>-3.2358532822890579E-4</v>
      </c>
      <c r="E664" s="60">
        <f>LN('Price Data'!E665/'Price Data'!E664)</f>
        <v>5.5503825445248553E-3</v>
      </c>
      <c r="F664" s="60">
        <f>LN('Price Data'!F665/'Price Data'!F664)</f>
        <v>9.5366447209179681E-3</v>
      </c>
    </row>
    <row r="665" spans="1:6" x14ac:dyDescent="0.35">
      <c r="A665" s="2">
        <v>45541</v>
      </c>
      <c r="B665" s="60">
        <f>LN('Price Data'!B666/'Price Data'!B665)</f>
        <v>-1.9035056558162369E-2</v>
      </c>
      <c r="C665" s="60">
        <f>LN('Price Data'!C666/'Price Data'!C665)</f>
        <v>-4.298818849337931E-3</v>
      </c>
      <c r="D665" s="60">
        <f>LN('Price Data'!D666/'Price Data'!D665)</f>
        <v>-2.2749641153491724E-2</v>
      </c>
      <c r="E665" s="60">
        <f>LN('Price Data'!E666/'Price Data'!E665)</f>
        <v>-1.632370014170776E-2</v>
      </c>
      <c r="F665" s="60">
        <f>LN('Price Data'!F666/'Price Data'!F665)</f>
        <v>-1.876470458589902E-2</v>
      </c>
    </row>
    <row r="666" spans="1:6" x14ac:dyDescent="0.35">
      <c r="A666" s="2">
        <v>45544</v>
      </c>
      <c r="B666" s="60">
        <f>LN('Price Data'!B667/'Price Data'!B666)</f>
        <v>-1.6192565208150984E-3</v>
      </c>
      <c r="C666" s="60">
        <f>LN('Price Data'!C667/'Price Data'!C666)</f>
        <v>-1.6168333805260721E-3</v>
      </c>
      <c r="D666" s="60">
        <f>LN('Price Data'!D667/'Price Data'!D666)</f>
        <v>2.1980706090614355E-2</v>
      </c>
      <c r="E666" s="60">
        <f>LN('Price Data'!E667/'Price Data'!E666)</f>
        <v>-3.7929717539726777E-3</v>
      </c>
      <c r="F666" s="60">
        <f>LN('Price Data'!F667/'Price Data'!F666)</f>
        <v>1.9839395715664478E-2</v>
      </c>
    </row>
    <row r="667" spans="1:6" x14ac:dyDescent="0.35">
      <c r="A667" s="2">
        <v>45545</v>
      </c>
      <c r="B667" s="60">
        <f>LN('Price Data'!B668/'Price Data'!B667)</f>
        <v>-6.2927929080186702E-4</v>
      </c>
      <c r="C667" s="60">
        <f>LN('Price Data'!C668/'Price Data'!C667)</f>
        <v>1.3017353975387504E-2</v>
      </c>
      <c r="D667" s="60">
        <f>LN('Price Data'!D668/'Price Data'!D667)</f>
        <v>1.8606161578525228E-3</v>
      </c>
      <c r="E667" s="60">
        <f>LN('Price Data'!E668/'Price Data'!E667)</f>
        <v>9.2725811808346201E-3</v>
      </c>
      <c r="F667" s="60">
        <f>LN('Price Data'!F668/'Price Data'!F667)</f>
        <v>3.6082885364026036E-3</v>
      </c>
    </row>
    <row r="668" spans="1:6" x14ac:dyDescent="0.35">
      <c r="A668" s="2">
        <v>45546</v>
      </c>
      <c r="B668" s="60">
        <f>LN('Price Data'!B669/'Price Data'!B668)</f>
        <v>-6.8863277319129437E-3</v>
      </c>
      <c r="C668" s="60">
        <f>LN('Price Data'!C669/'Price Data'!C668)</f>
        <v>-6.3423748299842337E-3</v>
      </c>
      <c r="D668" s="60">
        <f>LN('Price Data'!D669/'Price Data'!D668)</f>
        <v>-7.6809576674636627E-4</v>
      </c>
      <c r="E668" s="60">
        <f>LN('Price Data'!E669/'Price Data'!E668)</f>
        <v>-1.1249330804749059E-3</v>
      </c>
      <c r="F668" s="60">
        <f>LN('Price Data'!F669/'Price Data'!F668)</f>
        <v>1.4602295771695799E-3</v>
      </c>
    </row>
    <row r="669" spans="1:6" x14ac:dyDescent="0.35">
      <c r="A669" s="2">
        <v>45547</v>
      </c>
      <c r="B669" s="60">
        <f>LN('Price Data'!B670/'Price Data'!B669)</f>
        <v>1.930943902676599E-2</v>
      </c>
      <c r="C669" s="60">
        <f>LN('Price Data'!C670/'Price Data'!C669)</f>
        <v>8.525068164035414E-3</v>
      </c>
      <c r="D669" s="60">
        <f>LN('Price Data'!D670/'Price Data'!D669)</f>
        <v>1.2698583337127561E-2</v>
      </c>
      <c r="E669" s="60">
        <f>LN('Price Data'!E670/'Price Data'!E669)</f>
        <v>2.0878342176985022E-2</v>
      </c>
      <c r="F669" s="60">
        <f>LN('Price Data'!F670/'Price Data'!F669)</f>
        <v>9.9588770286629692E-3</v>
      </c>
    </row>
    <row r="670" spans="1:6" x14ac:dyDescent="0.35">
      <c r="A670" s="2">
        <v>45548</v>
      </c>
      <c r="B670" s="60">
        <f>LN('Price Data'!B671/'Price Data'!B670)</f>
        <v>-4.8570256334181106E-3</v>
      </c>
      <c r="C670" s="60">
        <f>LN('Price Data'!C671/'Price Data'!C670)</f>
        <v>1.0840349280103342E-3</v>
      </c>
      <c r="D670" s="60">
        <f>LN('Price Data'!D671/'Price Data'!D670)</f>
        <v>-1.438561686648656E-3</v>
      </c>
      <c r="E670" s="60">
        <f>LN('Price Data'!E671/'Price Data'!E670)</f>
        <v>-3.2609701388444565E-3</v>
      </c>
      <c r="F670" s="60">
        <f>LN('Price Data'!F671/'Price Data'!F670)</f>
        <v>-1.0925269274040795E-2</v>
      </c>
    </row>
    <row r="671" spans="1:6" x14ac:dyDescent="0.35">
      <c r="A671" s="2">
        <v>45551</v>
      </c>
      <c r="B671" s="60">
        <f>LN('Price Data'!B672/'Price Data'!B671)</f>
        <v>-8.69571179598124E-4</v>
      </c>
      <c r="C671" s="60">
        <f>LN('Price Data'!C672/'Price Data'!C671)</f>
        <v>-2.0695348721262554E-3</v>
      </c>
      <c r="D671" s="60">
        <f>LN('Price Data'!D672/'Price Data'!D671)</f>
        <v>9.9475593481200639E-3</v>
      </c>
      <c r="E671" s="60">
        <f>LN('Price Data'!E672/'Price Data'!E671)</f>
        <v>3.1584244418283339E-3</v>
      </c>
      <c r="F671" s="60">
        <f>LN('Price Data'!F672/'Price Data'!F671)</f>
        <v>-5.3629385358611023E-3</v>
      </c>
    </row>
    <row r="672" spans="1:6" x14ac:dyDescent="0.35">
      <c r="A672" s="2">
        <v>45552</v>
      </c>
      <c r="B672" s="60">
        <f>LN('Price Data'!B673/'Price Data'!B672)</f>
        <v>6.4545719292854553E-4</v>
      </c>
      <c r="C672" s="60">
        <f>LN('Price Data'!C673/'Price Data'!C672)</f>
        <v>-1.6853500535371564E-3</v>
      </c>
      <c r="D672" s="60">
        <f>LN('Price Data'!D673/'Price Data'!D672)</f>
        <v>4.1486457890712479E-3</v>
      </c>
      <c r="E672" s="60">
        <f>LN('Price Data'!E673/'Price Data'!E672)</f>
        <v>1.1786411121564935E-3</v>
      </c>
      <c r="F672" s="60">
        <f>LN('Price Data'!F673/'Price Data'!F672)</f>
        <v>-6.5778107171194549E-3</v>
      </c>
    </row>
    <row r="673" spans="1:6" x14ac:dyDescent="0.35">
      <c r="A673" s="2">
        <v>45553</v>
      </c>
      <c r="B673" s="60">
        <f>LN('Price Data'!B674/'Price Data'!B673)</f>
        <v>-6.029141996775355E-3</v>
      </c>
      <c r="C673" s="60">
        <f>LN('Price Data'!C674/'Price Data'!C673)</f>
        <v>-3.6041769046378506E-2</v>
      </c>
      <c r="D673" s="60">
        <f>LN('Price Data'!D674/'Price Data'!D673)</f>
        <v>1.5842612639489453E-2</v>
      </c>
      <c r="E673" s="60">
        <f>LN('Price Data'!E674/'Price Data'!E673)</f>
        <v>-3.1422461927410106E-2</v>
      </c>
      <c r="F673" s="60">
        <f>LN('Price Data'!F674/'Price Data'!F673)</f>
        <v>-7.9141938942880042E-4</v>
      </c>
    </row>
    <row r="674" spans="1:6" x14ac:dyDescent="0.35">
      <c r="A674" s="2">
        <v>45554</v>
      </c>
      <c r="B674" s="60">
        <f>LN('Price Data'!B675/'Price Data'!B674)</f>
        <v>4.2480281260942471E-3</v>
      </c>
      <c r="C674" s="60">
        <f>LN('Price Data'!C675/'Price Data'!C674)</f>
        <v>-1.1571122936590161E-2</v>
      </c>
      <c r="D674" s="60">
        <f>LN('Price Data'!D675/'Price Data'!D674)</f>
        <v>2.8290754622038242E-3</v>
      </c>
      <c r="E674" s="60">
        <f>LN('Price Data'!E675/'Price Data'!E674)</f>
        <v>1.0828371388318981E-3</v>
      </c>
      <c r="F674" s="60">
        <f>LN('Price Data'!F675/'Price Data'!F674)</f>
        <v>1.769414577405625E-3</v>
      </c>
    </row>
    <row r="675" spans="1:6" x14ac:dyDescent="0.35">
      <c r="A675" s="2">
        <v>45555</v>
      </c>
      <c r="B675" s="60">
        <f>LN('Price Data'!B676/'Price Data'!B675)</f>
        <v>1.0996148841778443E-2</v>
      </c>
      <c r="C675" s="60">
        <f>LN('Price Data'!C676/'Price Data'!C675)</f>
        <v>-2.6220582435691484E-3</v>
      </c>
      <c r="D675" s="60">
        <f>LN('Price Data'!D676/'Price Data'!D675)</f>
        <v>3.532082267172304E-2</v>
      </c>
      <c r="E675" s="60">
        <f>LN('Price Data'!E676/'Price Data'!E675)</f>
        <v>6.0790460763821925E-3</v>
      </c>
      <c r="F675" s="60">
        <f>LN('Price Data'!F676/'Price Data'!F675)</f>
        <v>1.2031899056539234E-2</v>
      </c>
    </row>
    <row r="676" spans="1:6" x14ac:dyDescent="0.35">
      <c r="A676" s="2">
        <v>45558</v>
      </c>
      <c r="B676" s="60">
        <f>LN('Price Data'!B677/'Price Data'!B676)</f>
        <v>5.0011684101899587E-3</v>
      </c>
      <c r="C676" s="60">
        <f>LN('Price Data'!C677/'Price Data'!C676)</f>
        <v>-3.8347370863313379E-3</v>
      </c>
      <c r="D676" s="60">
        <f>LN('Price Data'!D677/'Price Data'!D676)</f>
        <v>-1.2442132428916057E-2</v>
      </c>
      <c r="E676" s="60">
        <f>LN('Price Data'!E677/'Price Data'!E676)</f>
        <v>-4.8919144423667134E-3</v>
      </c>
      <c r="F676" s="60">
        <f>LN('Price Data'!F677/'Price Data'!F676)</f>
        <v>4.9402049903372134E-3</v>
      </c>
    </row>
    <row r="677" spans="1:6" x14ac:dyDescent="0.35">
      <c r="A677" s="2">
        <v>45559</v>
      </c>
      <c r="B677" s="60">
        <f>LN('Price Data'!B678/'Price Data'!B677)</f>
        <v>-2.6820812923956956E-3</v>
      </c>
      <c r="C677" s="60">
        <f>LN('Price Data'!C678/'Price Data'!C677)</f>
        <v>6.5575308563107506E-4</v>
      </c>
      <c r="D677" s="60">
        <f>LN('Price Data'!D678/'Price Data'!D677)</f>
        <v>-2.499527906154811E-3</v>
      </c>
      <c r="E677" s="60">
        <f>LN('Price Data'!E678/'Price Data'!E677)</f>
        <v>1.1330550216817094E-3</v>
      </c>
      <c r="F677" s="60">
        <f>LN('Price Data'!F678/'Price Data'!F677)</f>
        <v>-3.2975953361520671E-3</v>
      </c>
    </row>
    <row r="678" spans="1:6" x14ac:dyDescent="0.35">
      <c r="A678" s="2">
        <v>45560</v>
      </c>
      <c r="B678" s="60">
        <f>LN('Price Data'!B679/'Price Data'!B678)</f>
        <v>3.0636929703270065E-3</v>
      </c>
      <c r="C678" s="60">
        <f>LN('Price Data'!C679/'Price Data'!C678)</f>
        <v>8.0739059271016638E-4</v>
      </c>
      <c r="D678" s="60">
        <f>LN('Price Data'!D679/'Price Data'!D678)</f>
        <v>3.9735903482523019E-3</v>
      </c>
      <c r="E678" s="60">
        <f>LN('Price Data'!E679/'Price Data'!E678)</f>
        <v>-1.7396351154435896E-3</v>
      </c>
      <c r="F678" s="60">
        <f>LN('Price Data'!F679/'Price Data'!F678)</f>
        <v>4.4624654418154684E-3</v>
      </c>
    </row>
    <row r="679" spans="1:6" x14ac:dyDescent="0.35">
      <c r="A679" s="2">
        <v>45561</v>
      </c>
      <c r="B679" s="60">
        <f>LN('Price Data'!B680/'Price Data'!B679)</f>
        <v>2.6738877524148919E-3</v>
      </c>
      <c r="C679" s="60">
        <f>LN('Price Data'!C680/'Price Data'!C679)</f>
        <v>4.1436926429282714E-3</v>
      </c>
      <c r="D679" s="60">
        <f>LN('Price Data'!D680/'Price Data'!D679)</f>
        <v>3.9202432504791317E-3</v>
      </c>
      <c r="E679" s="60">
        <f>LN('Price Data'!E680/'Price Data'!E679)</f>
        <v>2.6083191138953068E-3</v>
      </c>
      <c r="F679" s="60">
        <f>LN('Price Data'!F680/'Price Data'!F679)</f>
        <v>9.9986607371928514E-3</v>
      </c>
    </row>
    <row r="680" spans="1:6" x14ac:dyDescent="0.35">
      <c r="A680" s="2">
        <v>45562</v>
      </c>
      <c r="B680" s="60">
        <f>LN('Price Data'!B681/'Price Data'!B680)</f>
        <v>1.8670374644266591E-2</v>
      </c>
      <c r="C680" s="60">
        <f>LN('Price Data'!C681/'Price Data'!C680)</f>
        <v>3.766920698525533E-3</v>
      </c>
      <c r="D680" s="60">
        <f>LN('Price Data'!D681/'Price Data'!D680)</f>
        <v>-1.7036057871280676E-2</v>
      </c>
      <c r="E680" s="60">
        <f>LN('Price Data'!E681/'Price Data'!E680)</f>
        <v>3.4147655981982016E-3</v>
      </c>
      <c r="F680" s="60">
        <f>LN('Price Data'!F681/'Price Data'!F680)</f>
        <v>-1.0111121230833466E-4</v>
      </c>
    </row>
    <row r="681" spans="1:6" x14ac:dyDescent="0.35">
      <c r="A681" s="2">
        <v>45565</v>
      </c>
      <c r="B681" s="60">
        <f>LN('Price Data'!B682/'Price Data'!B681)</f>
        <v>-3.3046050852921241E-2</v>
      </c>
      <c r="C681" s="60">
        <f>LN('Price Data'!C682/'Price Data'!C681)</f>
        <v>-9.3737570197950683E-3</v>
      </c>
      <c r="D681" s="60">
        <f>LN('Price Data'!D682/'Price Data'!D681)</f>
        <v>-2.6052023849243364E-2</v>
      </c>
      <c r="E681" s="60">
        <f>LN('Price Data'!E682/'Price Data'!E681)</f>
        <v>-1.6471613828916792E-2</v>
      </c>
      <c r="F681" s="60">
        <f>LN('Price Data'!F682/'Price Data'!F681)</f>
        <v>-8.7340347629376053E-3</v>
      </c>
    </row>
    <row r="682" spans="1:6" x14ac:dyDescent="0.35">
      <c r="A682" s="2">
        <v>45566</v>
      </c>
      <c r="B682" s="60">
        <f>LN('Price Data'!B683/'Price Data'!B682)</f>
        <v>-7.9894624661271969E-3</v>
      </c>
      <c r="C682" s="60">
        <f>LN('Price Data'!C683/'Price Data'!C682)</f>
        <v>4.5346251328180296E-3</v>
      </c>
      <c r="D682" s="60">
        <f>LN('Price Data'!D683/'Price Data'!D682)</f>
        <v>1.0991600384324183E-3</v>
      </c>
      <c r="E682" s="60">
        <f>LN('Price Data'!E683/'Price Data'!E682)</f>
        <v>1.5212134771816462E-2</v>
      </c>
      <c r="F682" s="60">
        <f>LN('Price Data'!F683/'Price Data'!F682)</f>
        <v>-3.7812637668857107E-3</v>
      </c>
    </row>
    <row r="683" spans="1:6" x14ac:dyDescent="0.35">
      <c r="A683" s="2">
        <v>45568</v>
      </c>
      <c r="B683" s="60">
        <f>LN('Price Data'!B684/'Price Data'!B683)</f>
        <v>-4.0293912082762146E-2</v>
      </c>
      <c r="C683" s="60">
        <f>LN('Price Data'!C684/'Price Data'!C683)</f>
        <v>-1.2945202574837908E-2</v>
      </c>
      <c r="D683" s="60">
        <f>LN('Price Data'!D684/'Price Data'!D683)</f>
        <v>-1.4264787966473588E-2</v>
      </c>
      <c r="E683" s="60">
        <f>LN('Price Data'!E684/'Price Data'!E683)</f>
        <v>-5.7665882924566574E-3</v>
      </c>
      <c r="F683" s="60">
        <f>LN('Price Data'!F684/'Price Data'!F683)</f>
        <v>-6.6981964013616922E-3</v>
      </c>
    </row>
    <row r="684" spans="1:6" x14ac:dyDescent="0.35">
      <c r="A684" s="2">
        <v>45569</v>
      </c>
      <c r="B684" s="60">
        <f>LN('Price Data'!B685/'Price Data'!B684)</f>
        <v>-1.4634232887689246E-2</v>
      </c>
      <c r="C684" s="60">
        <f>LN('Price Data'!C685/'Price Data'!C684)</f>
        <v>4.5963545858598315E-3</v>
      </c>
      <c r="D684" s="60">
        <f>LN('Price Data'!D685/'Price Data'!D684)</f>
        <v>-1.3300945260122011E-2</v>
      </c>
      <c r="E684" s="60">
        <f>LN('Price Data'!E685/'Price Data'!E684)</f>
        <v>1.2987025155694302E-2</v>
      </c>
      <c r="F684" s="60">
        <f>LN('Price Data'!F685/'Price Data'!F684)</f>
        <v>-1.8119339520037865E-2</v>
      </c>
    </row>
    <row r="685" spans="1:6" x14ac:dyDescent="0.35">
      <c r="A685" s="2">
        <v>45572</v>
      </c>
      <c r="B685" s="60">
        <f>LN('Price Data'!B686/'Price Data'!B685)</f>
        <v>-1.1468073822029213E-2</v>
      </c>
      <c r="C685" s="60">
        <f>LN('Price Data'!C686/'Price Data'!C685)</f>
        <v>4.8327972913703148E-3</v>
      </c>
      <c r="D685" s="60">
        <f>LN('Price Data'!D686/'Price Data'!D685)</f>
        <v>-4.7298614647551416E-3</v>
      </c>
      <c r="E685" s="60">
        <f>LN('Price Data'!E686/'Price Data'!E685)</f>
        <v>8.3843240575668925E-3</v>
      </c>
      <c r="F685" s="60">
        <f>LN('Price Data'!F686/'Price Data'!F685)</f>
        <v>1.3138601127672161E-2</v>
      </c>
    </row>
    <row r="686" spans="1:6" x14ac:dyDescent="0.35">
      <c r="A686" s="2">
        <v>45573</v>
      </c>
      <c r="B686" s="60">
        <f>LN('Price Data'!B687/'Price Data'!B686)</f>
        <v>1.9241436526818749E-2</v>
      </c>
      <c r="C686" s="60">
        <f>LN('Price Data'!C687/'Price Data'!C686)</f>
        <v>-4.597655323324336E-3</v>
      </c>
      <c r="D686" s="60">
        <f>LN('Price Data'!D687/'Price Data'!D686)</f>
        <v>2.1857932199800039E-3</v>
      </c>
      <c r="E686" s="60">
        <f>LN('Price Data'!E687/'Price Data'!E686)</f>
        <v>7.3400023061707806E-3</v>
      </c>
      <c r="F686" s="60">
        <f>LN('Price Data'!F687/'Price Data'!F686)</f>
        <v>-4.4228106025216733E-3</v>
      </c>
    </row>
    <row r="687" spans="1:6" x14ac:dyDescent="0.35">
      <c r="A687" s="2">
        <v>45574</v>
      </c>
      <c r="B687" s="60">
        <f>LN('Price Data'!B688/'Price Data'!B687)</f>
        <v>-1.641480605504779E-2</v>
      </c>
      <c r="C687" s="60">
        <f>LN('Price Data'!C688/'Price Data'!C687)</f>
        <v>-7.0536784962608385E-5</v>
      </c>
      <c r="D687" s="60">
        <f>LN('Price Data'!D688/'Price Data'!D687)</f>
        <v>6.0868876837550448E-3</v>
      </c>
      <c r="E687" s="60">
        <f>LN('Price Data'!E688/'Price Data'!E687)</f>
        <v>2.1531292761836785E-3</v>
      </c>
      <c r="F687" s="60">
        <f>LN('Price Data'!F688/'Price Data'!F687)</f>
        <v>-3.252972721037789E-2</v>
      </c>
    </row>
    <row r="688" spans="1:6" x14ac:dyDescent="0.35">
      <c r="A688" s="2">
        <v>45575</v>
      </c>
      <c r="B688" s="60">
        <f>LN('Price Data'!B689/'Price Data'!B688)</f>
        <v>-2.5859100600708102E-3</v>
      </c>
      <c r="C688" s="60">
        <f>LN('Price Data'!C689/'Price Data'!C688)</f>
        <v>-6.0257129265482044E-3</v>
      </c>
      <c r="D688" s="60">
        <f>LN('Price Data'!D689/'Price Data'!D688)</f>
        <v>-5.2258156476400525E-4</v>
      </c>
      <c r="E688" s="60">
        <f>LN('Price Data'!E689/'Price Data'!E688)</f>
        <v>-1.7434418482706788E-2</v>
      </c>
      <c r="F688" s="60">
        <f>LN('Price Data'!F689/'Price Data'!F688)</f>
        <v>7.3067999468541555E-4</v>
      </c>
    </row>
    <row r="689" spans="1:6" x14ac:dyDescent="0.35">
      <c r="A689" s="2">
        <v>45576</v>
      </c>
      <c r="B689" s="60">
        <f>LN('Price Data'!B690/'Price Data'!B689)</f>
        <v>7.6554329969551443E-4</v>
      </c>
      <c r="C689" s="60">
        <f>LN('Price Data'!C690/'Price Data'!C689)</f>
        <v>-1.8671602293063295E-2</v>
      </c>
      <c r="D689" s="60">
        <f>LN('Price Data'!D690/'Price Data'!D689)</f>
        <v>-1.6623127556287035E-2</v>
      </c>
      <c r="E689" s="60">
        <f>LN('Price Data'!E690/'Price Data'!E689)</f>
        <v>8.3547877074016657E-3</v>
      </c>
      <c r="F689" s="60">
        <f>LN('Price Data'!F690/'Price Data'!F689)</f>
        <v>-7.8721034565749307E-3</v>
      </c>
    </row>
    <row r="690" spans="1:6" x14ac:dyDescent="0.35">
      <c r="A690" s="2">
        <v>45579</v>
      </c>
      <c r="B690" s="60">
        <f>LN('Price Data'!B691/'Price Data'!B690)</f>
        <v>3.1333914117254966E-4</v>
      </c>
      <c r="C690" s="60">
        <f>LN('Price Data'!C691/'Price Data'!C690)</f>
        <v>-3.0292630441101616E-3</v>
      </c>
      <c r="D690" s="60">
        <f>LN('Price Data'!D691/'Price Data'!D690)</f>
        <v>7.129065736900116E-3</v>
      </c>
      <c r="E690" s="60">
        <f>LN('Price Data'!E691/'Price Data'!E690)</f>
        <v>1.222408647425317E-2</v>
      </c>
      <c r="F690" s="60">
        <f>LN('Price Data'!F691/'Price Data'!F690)</f>
        <v>1.7769470511975222E-2</v>
      </c>
    </row>
    <row r="691" spans="1:6" x14ac:dyDescent="0.35">
      <c r="A691" s="2">
        <v>45580</v>
      </c>
      <c r="B691" s="60">
        <f>LN('Price Data'!B692/'Price Data'!B691)</f>
        <v>-2.0983188805755105E-2</v>
      </c>
      <c r="C691" s="60">
        <f>LN('Price Data'!C692/'Price Data'!C691)</f>
        <v>-4.8101189860830784E-3</v>
      </c>
      <c r="D691" s="60">
        <f>LN('Price Data'!D692/'Price Data'!D691)</f>
        <v>1.9097977173567343E-2</v>
      </c>
      <c r="E691" s="60">
        <f>LN('Price Data'!E692/'Price Data'!E691)</f>
        <v>2.0417538736631791E-4</v>
      </c>
      <c r="F691" s="60">
        <f>LN('Price Data'!F692/'Price Data'!F691)</f>
        <v>3.2280014438191896E-3</v>
      </c>
    </row>
    <row r="692" spans="1:6" x14ac:dyDescent="0.35">
      <c r="A692" s="2">
        <v>45581</v>
      </c>
      <c r="B692" s="60">
        <f>LN('Price Data'!B693/'Price Data'!B692)</f>
        <v>7.4423085439487618E-3</v>
      </c>
      <c r="C692" s="60">
        <f>LN('Price Data'!C693/'Price Data'!C692)</f>
        <v>-5.3216553270628826E-3</v>
      </c>
      <c r="D692" s="60">
        <f>LN('Price Data'!D693/'Price Data'!D692)</f>
        <v>-9.8854185832726576E-3</v>
      </c>
      <c r="E692" s="60">
        <f>LN('Price Data'!E693/'Price Data'!E692)</f>
        <v>-2.0209998577850281E-2</v>
      </c>
      <c r="F692" s="60">
        <f>LN('Price Data'!F693/'Price Data'!F692)</f>
        <v>-1.0807920087419995E-2</v>
      </c>
    </row>
    <row r="693" spans="1:6" x14ac:dyDescent="0.35">
      <c r="A693" s="2">
        <v>45582</v>
      </c>
      <c r="B693" s="60">
        <f>LN('Price Data'!B694/'Price Data'!B693)</f>
        <v>1.741376569910102E-3</v>
      </c>
      <c r="C693" s="60">
        <f>LN('Price Data'!C694/'Price Data'!C693)</f>
        <v>3.4251826829928673E-3</v>
      </c>
      <c r="D693" s="60">
        <f>LN('Price Data'!D694/'Price Data'!D693)</f>
        <v>-9.6185675280683579E-3</v>
      </c>
      <c r="E693" s="60">
        <f>LN('Price Data'!E694/'Price Data'!E693)</f>
        <v>2.4691342330520883E-2</v>
      </c>
      <c r="F693" s="60">
        <f>LN('Price Data'!F694/'Price Data'!F693)</f>
        <v>-8.7398842806950504E-3</v>
      </c>
    </row>
    <row r="694" spans="1:6" x14ac:dyDescent="0.35">
      <c r="A694" s="2">
        <v>45583</v>
      </c>
      <c r="B694" s="60">
        <f>LN('Price Data'!B695/'Price Data'!B694)</f>
        <v>2.1136129647965347E-3</v>
      </c>
      <c r="C694" s="60">
        <f>LN('Price Data'!C695/'Price Data'!C694)</f>
        <v>3.4134908418811294E-3</v>
      </c>
      <c r="D694" s="60">
        <f>LN('Price Data'!D695/'Price Data'!D694)</f>
        <v>2.6646873623721104E-2</v>
      </c>
      <c r="E694" s="60">
        <f>LN('Price Data'!E695/'Price Data'!E694)</f>
        <v>-4.6009622100731042E-2</v>
      </c>
      <c r="F694" s="60">
        <f>LN('Price Data'!F695/'Price Data'!F694)</f>
        <v>-4.5290619496071516E-3</v>
      </c>
    </row>
    <row r="695" spans="1:6" x14ac:dyDescent="0.35">
      <c r="A695" s="2">
        <v>45586</v>
      </c>
      <c r="B695" s="60">
        <f>LN('Price Data'!B696/'Price Data'!B695)</f>
        <v>7.25676631482802E-3</v>
      </c>
      <c r="C695" s="60">
        <f>LN('Price Data'!C696/'Price Data'!C695)</f>
        <v>-1.0532957708804167E-2</v>
      </c>
      <c r="D695" s="60">
        <f>LN('Price Data'!D696/'Price Data'!D695)</f>
        <v>-4.3193187954782084E-3</v>
      </c>
      <c r="E695" s="60">
        <f>LN('Price Data'!E696/'Price Data'!E695)</f>
        <v>-1.4387966397192302E-2</v>
      </c>
      <c r="F695" s="60">
        <f>LN('Price Data'!F696/'Price Data'!F695)</f>
        <v>-6.2748038031130819E-3</v>
      </c>
    </row>
    <row r="696" spans="1:6" x14ac:dyDescent="0.35">
      <c r="A696" s="2">
        <v>45587</v>
      </c>
      <c r="B696" s="60">
        <f>LN('Price Data'!B697/'Price Data'!B696)</f>
        <v>-1.9060133512486095E-2</v>
      </c>
      <c r="C696" s="60">
        <f>LN('Price Data'!C697/'Price Data'!C696)</f>
        <v>-1.5898350387969728E-2</v>
      </c>
      <c r="D696" s="60">
        <f>LN('Price Data'!D697/'Price Data'!D696)</f>
        <v>6.6889881507967101E-3</v>
      </c>
      <c r="E696" s="60">
        <f>LN('Price Data'!E697/'Price Data'!E696)</f>
        <v>-6.2089167435279034E-4</v>
      </c>
      <c r="F696" s="60">
        <f>LN('Price Data'!F697/'Price Data'!F696)</f>
        <v>-3.83213546385258E-3</v>
      </c>
    </row>
    <row r="697" spans="1:6" x14ac:dyDescent="0.35">
      <c r="A697" s="2">
        <v>45588</v>
      </c>
      <c r="B697" s="60">
        <f>LN('Price Data'!B698/'Price Data'!B697)</f>
        <v>-3.5944972852604406E-3</v>
      </c>
      <c r="C697" s="60">
        <f>LN('Price Data'!C698/'Price Data'!C697)</f>
        <v>1.2559326159044388E-2</v>
      </c>
      <c r="D697" s="60">
        <f>LN('Price Data'!D698/'Price Data'!D697)</f>
        <v>-1.2623723670611195E-2</v>
      </c>
      <c r="E697" s="60">
        <f>LN('Price Data'!E698/'Price Data'!E697)</f>
        <v>1.1704831617914871E-2</v>
      </c>
      <c r="F697" s="60">
        <f>LN('Price Data'!F698/'Price Data'!F697)</f>
        <v>-3.010296600927572E-3</v>
      </c>
    </row>
    <row r="698" spans="1:6" x14ac:dyDescent="0.35">
      <c r="A698" s="2">
        <v>45589</v>
      </c>
      <c r="B698" s="60">
        <f>LN('Price Data'!B699/'Price Data'!B698)</f>
        <v>9.4835221588340432E-4</v>
      </c>
      <c r="C698" s="60">
        <f>LN('Price Data'!C699/'Price Data'!C698)</f>
        <v>-4.5229706827098282E-3</v>
      </c>
      <c r="D698" s="60">
        <f>LN('Price Data'!D699/'Price Data'!D698)</f>
        <v>9.1840204510708204E-4</v>
      </c>
      <c r="E698" s="60">
        <f>LN('Price Data'!E699/'Price Data'!E698)</f>
        <v>-5.3790187901691013E-3</v>
      </c>
      <c r="F698" s="60">
        <f>LN('Price Data'!F699/'Price Data'!F698)</f>
        <v>-1.8187366360532527E-2</v>
      </c>
    </row>
    <row r="699" spans="1:6" x14ac:dyDescent="0.35">
      <c r="A699" s="2">
        <v>45590</v>
      </c>
      <c r="B699" s="60">
        <f>LN('Price Data'!B700/'Price Data'!B699)</f>
        <v>-8.9592562245527502E-3</v>
      </c>
      <c r="C699" s="60">
        <f>LN('Price Data'!C700/'Price Data'!C699)</f>
        <v>2.3811150668724534E-3</v>
      </c>
      <c r="D699" s="60">
        <f>LN('Price Data'!D700/'Price Data'!D699)</f>
        <v>2.1529391937708626E-3</v>
      </c>
      <c r="E699" s="60">
        <f>LN('Price Data'!E700/'Price Data'!E699)</f>
        <v>-6.9791166197828356E-4</v>
      </c>
      <c r="F699" s="60">
        <f>LN('Price Data'!F700/'Price Data'!F699)</f>
        <v>2.2228308302404114E-2</v>
      </c>
    </row>
    <row r="700" spans="1:6" x14ac:dyDescent="0.35">
      <c r="A700" s="2">
        <v>45593</v>
      </c>
      <c r="B700" s="60">
        <f>LN('Price Data'!B701/'Price Data'!B700)</f>
        <v>4.8831890288680594E-3</v>
      </c>
      <c r="C700" s="60">
        <f>LN('Price Data'!C701/'Price Data'!C700)</f>
        <v>8.1734292335961245E-3</v>
      </c>
      <c r="D700" s="60">
        <f>LN('Price Data'!D701/'Price Data'!D700)</f>
        <v>2.9355009727912953E-2</v>
      </c>
      <c r="E700" s="60">
        <f>LN('Price Data'!E701/'Price Data'!E700)</f>
        <v>1.7706717080009458E-3</v>
      </c>
      <c r="F700" s="60">
        <f>LN('Price Data'!F701/'Price Data'!F700)</f>
        <v>3.8281954722319471E-3</v>
      </c>
    </row>
    <row r="701" spans="1:6" x14ac:dyDescent="0.35">
      <c r="A701" s="2">
        <v>45594</v>
      </c>
      <c r="B701" s="60">
        <f>LN('Price Data'!B702/'Price Data'!B701)</f>
        <v>4.2253320664744588E-3</v>
      </c>
      <c r="C701" s="60">
        <f>LN('Price Data'!C702/'Price Data'!C701)</f>
        <v>-3.8206779189206377E-3</v>
      </c>
      <c r="D701" s="60">
        <f>LN('Price Data'!D702/'Price Data'!D701)</f>
        <v>2.971986938492745E-2</v>
      </c>
      <c r="E701" s="60">
        <f>LN('Price Data'!E702/'Price Data'!E701)</f>
        <v>-1.4063638594131938E-2</v>
      </c>
      <c r="F701" s="60">
        <f>LN('Price Data'!F702/'Price Data'!F701)</f>
        <v>7.8293608004358015E-3</v>
      </c>
    </row>
    <row r="702" spans="1:6" x14ac:dyDescent="0.35">
      <c r="A702" s="2">
        <v>45595</v>
      </c>
      <c r="B702" s="60">
        <f>LN('Price Data'!B703/'Price Data'!B702)</f>
        <v>2.9062206080614902E-3</v>
      </c>
      <c r="C702" s="60">
        <f>LN('Price Data'!C703/'Price Data'!C702)</f>
        <v>2.3039508224564861E-3</v>
      </c>
      <c r="D702" s="60">
        <f>LN('Price Data'!D703/'Price Data'!D702)</f>
        <v>-1.4901939909211036E-2</v>
      </c>
      <c r="E702" s="60">
        <f>LN('Price Data'!E703/'Price Data'!E702)</f>
        <v>-2.0432412912526562E-2</v>
      </c>
      <c r="F702" s="60">
        <f>LN('Price Data'!F703/'Price Data'!F702)</f>
        <v>7.3385319950665471E-3</v>
      </c>
    </row>
    <row r="703" spans="1:6" x14ac:dyDescent="0.35">
      <c r="A703" s="2">
        <v>45596</v>
      </c>
      <c r="B703" s="60">
        <f>LN('Price Data'!B704/'Price Data'!B703)</f>
        <v>-8.8567256196623347E-3</v>
      </c>
      <c r="C703" s="60">
        <f>LN('Price Data'!C704/'Price Data'!C703)</f>
        <v>-2.8860455076144733E-2</v>
      </c>
      <c r="D703" s="60">
        <f>LN('Price Data'!D704/'Price Data'!D703)</f>
        <v>-1.5282128161085698E-2</v>
      </c>
      <c r="E703" s="60">
        <f>LN('Price Data'!E704/'Price Data'!E703)</f>
        <v>-2.5202564468210654E-2</v>
      </c>
      <c r="F703" s="60">
        <f>LN('Price Data'!F704/'Price Data'!F703)</f>
        <v>-5.6069673105624768E-3</v>
      </c>
    </row>
    <row r="704" spans="1:6" x14ac:dyDescent="0.35">
      <c r="A704" s="2">
        <v>45597</v>
      </c>
      <c r="B704" s="60">
        <f>LN('Price Data'!B705/'Price Data'!B704)</f>
        <v>4.9425344933917139E-3</v>
      </c>
      <c r="C704" s="60">
        <f>LN('Price Data'!C705/'Price Data'!C704)</f>
        <v>3.9609490149724912E-3</v>
      </c>
      <c r="D704" s="60">
        <f>LN('Price Data'!D705/'Price Data'!D704)</f>
        <v>-3.4829047777634986E-4</v>
      </c>
      <c r="E704" s="60">
        <f>LN('Price Data'!E705/'Price Data'!E704)</f>
        <v>2.0465599366260817E-3</v>
      </c>
      <c r="F704" s="60">
        <f>LN('Price Data'!F705/'Price Data'!F704)</f>
        <v>3.0661623607122698E-3</v>
      </c>
    </row>
    <row r="705" spans="1:6" x14ac:dyDescent="0.35">
      <c r="A705" s="2">
        <v>45600</v>
      </c>
      <c r="B705" s="60">
        <f>LN('Price Data'!B706/'Price Data'!B705)</f>
        <v>-2.7644898920821215E-2</v>
      </c>
      <c r="C705" s="60">
        <f>LN('Price Data'!C706/'Price Data'!C705)</f>
        <v>-5.0450829486551876E-3</v>
      </c>
      <c r="D705" s="60">
        <f>LN('Price Data'!D706/'Price Data'!D705)</f>
        <v>-1.1366412757745303E-2</v>
      </c>
      <c r="E705" s="60">
        <f>LN('Price Data'!E706/'Price Data'!E705)</f>
        <v>1.5888781892796826E-3</v>
      </c>
      <c r="F705" s="60">
        <f>LN('Price Data'!F706/'Price Data'!F705)</f>
        <v>-1.1688684154114448E-2</v>
      </c>
    </row>
    <row r="706" spans="1:6" x14ac:dyDescent="0.35">
      <c r="A706" s="2">
        <v>45601</v>
      </c>
      <c r="B706" s="60">
        <f>LN('Price Data'!B707/'Price Data'!B706)</f>
        <v>2.4161548888173689E-3</v>
      </c>
      <c r="C706" s="60">
        <f>LN('Price Data'!C707/'Price Data'!C706)</f>
        <v>1.8146309560155573E-3</v>
      </c>
      <c r="D706" s="60">
        <f>LN('Price Data'!D707/'Price Data'!D706)</f>
        <v>1.5152393714211716E-2</v>
      </c>
      <c r="E706" s="60">
        <f>LN('Price Data'!E707/'Price Data'!E706)</f>
        <v>-5.3726126646391932E-3</v>
      </c>
      <c r="F706" s="60">
        <f>LN('Price Data'!F707/'Price Data'!F706)</f>
        <v>-9.1376867028469394E-3</v>
      </c>
    </row>
    <row r="707" spans="1:6" x14ac:dyDescent="0.35">
      <c r="A707" s="2">
        <v>45602</v>
      </c>
      <c r="B707" s="60">
        <f>LN('Price Data'!B708/'Price Data'!B707)</f>
        <v>1.5243676087256687E-2</v>
      </c>
      <c r="C707" s="60">
        <f>LN('Price Data'!C708/'Price Data'!C707)</f>
        <v>4.1505155927717051E-2</v>
      </c>
      <c r="D707" s="60">
        <f>LN('Price Data'!D708/'Price Data'!D707)</f>
        <v>4.3477492931061953E-3</v>
      </c>
      <c r="E707" s="60">
        <f>LN('Price Data'!E708/'Price Data'!E707)</f>
        <v>3.8854491905505301E-2</v>
      </c>
      <c r="F707" s="60">
        <f>LN('Price Data'!F708/'Price Data'!F707)</f>
        <v>1.8913575024596279E-3</v>
      </c>
    </row>
    <row r="708" spans="1:6" x14ac:dyDescent="0.35">
      <c r="A708" s="2">
        <v>45603</v>
      </c>
      <c r="B708" s="60">
        <f>LN('Price Data'!B709/'Price Data'!B708)</f>
        <v>-1.4975574436825585E-2</v>
      </c>
      <c r="C708" s="60">
        <f>LN('Price Data'!C709/'Price Data'!C708)</f>
        <v>2.7139349995119219E-3</v>
      </c>
      <c r="D708" s="60">
        <f>LN('Price Data'!D709/'Price Data'!D708)</f>
        <v>-1.8326388030822167E-2</v>
      </c>
      <c r="E708" s="60">
        <f>LN('Price Data'!E709/'Price Data'!E708)</f>
        <v>-1.1387729045468271E-2</v>
      </c>
      <c r="F708" s="60">
        <f>LN('Price Data'!F709/'Price Data'!F708)</f>
        <v>-6.6796981275515713E-3</v>
      </c>
    </row>
    <row r="709" spans="1:6" x14ac:dyDescent="0.35">
      <c r="A709" s="2">
        <v>45604</v>
      </c>
      <c r="B709" s="60">
        <f>LN('Price Data'!B710/'Price Data'!B709)</f>
        <v>-1.6915518802407273E-2</v>
      </c>
      <c r="C709" s="60">
        <f>LN('Price Data'!C710/'Price Data'!C709)</f>
        <v>-9.3999693589166778E-4</v>
      </c>
      <c r="D709" s="60">
        <f>LN('Price Data'!D710/'Price Data'!D709)</f>
        <v>-1.5645331047098778E-2</v>
      </c>
      <c r="E709" s="60">
        <f>LN('Price Data'!E710/'Price Data'!E709)</f>
        <v>1.4808968680513086E-2</v>
      </c>
      <c r="F709" s="60">
        <f>LN('Price Data'!F710/'Price Data'!F709)</f>
        <v>3.096180664758004E-4</v>
      </c>
    </row>
    <row r="710" spans="1:6" x14ac:dyDescent="0.35">
      <c r="A710" s="2">
        <v>45607</v>
      </c>
      <c r="B710" s="60">
        <f>LN('Price Data'!B711/'Price Data'!B710)</f>
        <v>-8.6448542447665078E-3</v>
      </c>
      <c r="C710" s="60">
        <f>LN('Price Data'!C711/'Price Data'!C710)</f>
        <v>1.2389772303173239E-2</v>
      </c>
      <c r="D710" s="60">
        <f>LN('Price Data'!D711/'Price Data'!D710)</f>
        <v>8.266961624107597E-3</v>
      </c>
      <c r="E710" s="60">
        <f>LN('Price Data'!E711/'Price Data'!E710)</f>
        <v>1.6341605645073785E-2</v>
      </c>
      <c r="F710" s="60">
        <f>LN('Price Data'!F711/'Price Data'!F710)</f>
        <v>-2.3023121831862925E-3</v>
      </c>
    </row>
    <row r="711" spans="1:6" x14ac:dyDescent="0.35">
      <c r="A711" s="2">
        <v>45608</v>
      </c>
      <c r="B711" s="60">
        <f>LN('Price Data'!B712/'Price Data'!B711)</f>
        <v>1.2171422221496113E-3</v>
      </c>
      <c r="C711" s="60">
        <f>LN('Price Data'!C712/'Price Data'!C711)</f>
        <v>-3.0966758623379422E-4</v>
      </c>
      <c r="D711" s="60">
        <f>LN('Price Data'!D712/'Price Data'!D711)</f>
        <v>1.0236624383012508E-3</v>
      </c>
      <c r="E711" s="60">
        <f>LN('Price Data'!E712/'Price Data'!E711)</f>
        <v>4.6662639310027778E-3</v>
      </c>
      <c r="F711" s="60">
        <f>LN('Price Data'!F712/'Price Data'!F711)</f>
        <v>-8.6364780238615945E-3</v>
      </c>
    </row>
    <row r="712" spans="1:6" x14ac:dyDescent="0.35">
      <c r="A712" s="2">
        <v>45609</v>
      </c>
      <c r="B712" s="60">
        <f>LN('Price Data'!B713/'Price Data'!B712)</f>
        <v>-1.7575562255295753E-2</v>
      </c>
      <c r="C712" s="60">
        <f>LN('Price Data'!C713/'Price Data'!C712)</f>
        <v>-1.1272617945373372E-2</v>
      </c>
      <c r="D712" s="60">
        <f>LN('Price Data'!D713/'Price Data'!D712)</f>
        <v>-1.3390050710453376E-2</v>
      </c>
      <c r="E712" s="60">
        <f>LN('Price Data'!E713/'Price Data'!E712)</f>
        <v>-2.1406400595484735E-4</v>
      </c>
      <c r="F712" s="60">
        <f>LN('Price Data'!F713/'Price Data'!F712)</f>
        <v>-1.3646076634106104E-3</v>
      </c>
    </row>
    <row r="713" spans="1:6" x14ac:dyDescent="0.35">
      <c r="A713" s="2">
        <v>45610</v>
      </c>
      <c r="B713" s="60">
        <f>LN('Price Data'!B714/'Price Data'!B713)</f>
        <v>1.234314085191027E-2</v>
      </c>
      <c r="C713" s="60">
        <f>LN('Price Data'!C714/'Price Data'!C713)</f>
        <v>-1.0727739464871961E-3</v>
      </c>
      <c r="D713" s="60">
        <f>LN('Price Data'!D714/'Price Data'!D713)</f>
        <v>2.5889724297178795E-3</v>
      </c>
      <c r="E713" s="60">
        <f>LN('Price Data'!E714/'Price Data'!E713)</f>
        <v>-2.0627125276664144E-3</v>
      </c>
      <c r="F713" s="60">
        <f>LN('Price Data'!F714/'Price Data'!F713)</f>
        <v>-1.3318356657872213E-2</v>
      </c>
    </row>
    <row r="714" spans="1:6" x14ac:dyDescent="0.35">
      <c r="A714" s="2">
        <v>45614</v>
      </c>
      <c r="B714" s="60">
        <f>LN('Price Data'!B715/'Price Data'!B714)</f>
        <v>-5.418566859930923E-3</v>
      </c>
      <c r="C714" s="60">
        <f>LN('Price Data'!C715/'Price Data'!C714)</f>
        <v>-3.096237730344464E-2</v>
      </c>
      <c r="D714" s="60">
        <f>LN('Price Data'!D715/'Price Data'!D714)</f>
        <v>-2.7884020616334524E-3</v>
      </c>
      <c r="E714" s="60">
        <f>LN('Price Data'!E715/'Price Data'!E714)</f>
        <v>-2.8892107581355839E-2</v>
      </c>
      <c r="F714" s="60">
        <f>LN('Price Data'!F715/'Price Data'!F714)</f>
        <v>1.2696111254705844E-3</v>
      </c>
    </row>
    <row r="715" spans="1:6" x14ac:dyDescent="0.35">
      <c r="A715" s="2">
        <v>45615</v>
      </c>
      <c r="B715" s="60">
        <f>LN('Price Data'!B716/'Price Data'!B715)</f>
        <v>-1.5265641720163226E-2</v>
      </c>
      <c r="C715" s="60">
        <f>LN('Price Data'!C716/'Price Data'!C715)</f>
        <v>4.975782844669702E-3</v>
      </c>
      <c r="D715" s="60">
        <f>LN('Price Data'!D716/'Price Data'!D715)</f>
        <v>-3.476457518200339E-3</v>
      </c>
      <c r="E715" s="60">
        <f>LN('Price Data'!E716/'Price Data'!E715)</f>
        <v>7.3153618128109161E-3</v>
      </c>
      <c r="F715" s="60">
        <f>LN('Price Data'!F716/'Price Data'!F715)</f>
        <v>1.720469478579316E-3</v>
      </c>
    </row>
    <row r="716" spans="1:6" x14ac:dyDescent="0.35">
      <c r="A716" s="2">
        <v>45617</v>
      </c>
      <c r="B716" s="60">
        <f>LN('Price Data'!B717/'Price Data'!B716)</f>
        <v>-1.5134283549499127E-2</v>
      </c>
      <c r="C716" s="60">
        <f>LN('Price Data'!C717/'Price Data'!C716)</f>
        <v>8.209700466574401E-3</v>
      </c>
      <c r="D716" s="60">
        <f>LN('Price Data'!D717/'Price Data'!D716)</f>
        <v>1.1601625528686367E-3</v>
      </c>
      <c r="E716" s="60">
        <f>LN('Price Data'!E717/'Price Data'!E716)</f>
        <v>5.0836449265671138E-3</v>
      </c>
      <c r="F716" s="60">
        <f>LN('Price Data'!F717/'Price Data'!F716)</f>
        <v>-2.2068378638474998E-2</v>
      </c>
    </row>
    <row r="717" spans="1:6" x14ac:dyDescent="0.35">
      <c r="A717" s="2">
        <v>45618</v>
      </c>
      <c r="B717" s="60">
        <f>LN('Price Data'!B718/'Price Data'!B717)</f>
        <v>3.4081421025611618E-2</v>
      </c>
      <c r="C717" s="60">
        <f>LN('Price Data'!C718/'Price Data'!C717)</f>
        <v>4.1304586722281086E-2</v>
      </c>
      <c r="D717" s="60">
        <f>LN('Price Data'!D718/'Price Data'!D717)</f>
        <v>2.1752024278111601E-2</v>
      </c>
      <c r="E717" s="60">
        <f>LN('Price Data'!E718/'Price Data'!E717)</f>
        <v>3.6510759798323321E-2</v>
      </c>
      <c r="F717" s="60">
        <f>LN('Price Data'!F718/'Price Data'!F717)</f>
        <v>3.7554470375789663E-2</v>
      </c>
    </row>
    <row r="718" spans="1:6" x14ac:dyDescent="0.35">
      <c r="A718" s="2">
        <v>45621</v>
      </c>
      <c r="B718" s="60">
        <f>LN('Price Data'!B719/'Price Data'!B718)</f>
        <v>1.6925650883342601E-2</v>
      </c>
      <c r="C718" s="60">
        <f>LN('Price Data'!C719/'Price Data'!C718)</f>
        <v>1.6472912418483341E-2</v>
      </c>
      <c r="D718" s="60">
        <f>LN('Price Data'!D719/'Price Data'!D718)</f>
        <v>1.7759287995730805E-2</v>
      </c>
      <c r="E718" s="60">
        <f>LN('Price Data'!E719/'Price Data'!E718)</f>
        <v>-6.6193097606391006E-3</v>
      </c>
      <c r="F718" s="60">
        <f>LN('Price Data'!F719/'Price Data'!F718)</f>
        <v>4.5329381678932048E-3</v>
      </c>
    </row>
    <row r="719" spans="1:6" x14ac:dyDescent="0.35">
      <c r="A719" s="2">
        <v>45622</v>
      </c>
      <c r="B719" s="60">
        <f>LN('Price Data'!B720/'Price Data'!B719)</f>
        <v>6.7371610386386003E-3</v>
      </c>
      <c r="C719" s="60">
        <f>LN('Price Data'!C720/'Price Data'!C719)</f>
        <v>8.6758429697248764E-3</v>
      </c>
      <c r="D719" s="60">
        <f>LN('Price Data'!D720/'Price Data'!D719)</f>
        <v>3.0699590479672614E-3</v>
      </c>
      <c r="E719" s="60">
        <f>LN('Price Data'!E720/'Price Data'!E719)</f>
        <v>1.8066225468697655E-2</v>
      </c>
      <c r="F719" s="60">
        <f>LN('Price Data'!F720/'Price Data'!F719)</f>
        <v>4.2114129912818195E-4</v>
      </c>
    </row>
    <row r="720" spans="1:6" x14ac:dyDescent="0.35">
      <c r="A720" s="2">
        <v>45623</v>
      </c>
      <c r="B720" s="60">
        <f>LN('Price Data'!B721/'Price Data'!B720)</f>
        <v>-1.9313227834871095E-3</v>
      </c>
      <c r="C720" s="60">
        <f>LN('Price Data'!C721/'Price Data'!C720)</f>
        <v>-4.6400589856808398E-3</v>
      </c>
      <c r="D720" s="60">
        <f>LN('Price Data'!D721/'Price Data'!D720)</f>
        <v>-3.2621447768466324E-3</v>
      </c>
      <c r="E720" s="60">
        <f>LN('Price Data'!E721/'Price Data'!E720)</f>
        <v>1.8188195911016781E-4</v>
      </c>
      <c r="F720" s="60">
        <f>LN('Price Data'!F721/'Price Data'!F720)</f>
        <v>-1.1080946324155121E-4</v>
      </c>
    </row>
    <row r="721" spans="1:6" x14ac:dyDescent="0.35">
      <c r="A721" s="2">
        <v>45624</v>
      </c>
      <c r="B721" s="60">
        <f>LN('Price Data'!B722/'Price Data'!B721)</f>
        <v>-1.7473143455916999E-2</v>
      </c>
      <c r="C721" s="60">
        <f>LN('Price Data'!C722/'Price Data'!C721)</f>
        <v>-2.0438020862124633E-2</v>
      </c>
      <c r="D721" s="60">
        <f>LN('Price Data'!D722/'Price Data'!D721)</f>
        <v>-1.1093830559583713E-2</v>
      </c>
      <c r="E721" s="60">
        <f>LN('Price Data'!E722/'Price Data'!E721)</f>
        <v>-3.5892405171553468E-2</v>
      </c>
      <c r="F721" s="60">
        <f>LN('Price Data'!F722/'Price Data'!F721)</f>
        <v>-4.3089154468249858E-3</v>
      </c>
    </row>
    <row r="722" spans="1:6" x14ac:dyDescent="0.35">
      <c r="A722" s="2">
        <v>45625</v>
      </c>
      <c r="B722" s="60">
        <f>LN('Price Data'!B723/'Price Data'!B722)</f>
        <v>1.6699568728703974E-2</v>
      </c>
      <c r="C722" s="60">
        <f>LN('Price Data'!C723/'Price Data'!C722)</f>
        <v>6.0946083021207985E-3</v>
      </c>
      <c r="D722" s="60">
        <f>LN('Price Data'!D723/'Price Data'!D722)</f>
        <v>1.0632434058011474E-2</v>
      </c>
      <c r="E722" s="60">
        <f>LN('Price Data'!E723/'Price Data'!E722)</f>
        <v>6.4611659267536903E-4</v>
      </c>
      <c r="F722" s="60">
        <f>LN('Price Data'!F723/'Price Data'!F722)</f>
        <v>3.8877274688401951E-3</v>
      </c>
    </row>
    <row r="723" spans="1:6" x14ac:dyDescent="0.35">
      <c r="A723" s="2">
        <v>45628</v>
      </c>
      <c r="B723" s="60">
        <f>LN('Price Data'!B724/'Price Data'!B723)</f>
        <v>1.3031879511816204E-2</v>
      </c>
      <c r="C723" s="60">
        <f>LN('Price Data'!C724/'Price Data'!C723)</f>
        <v>1.357122173780273E-3</v>
      </c>
      <c r="D723" s="60">
        <f>LN('Price Data'!D724/'Price Data'!D723)</f>
        <v>3.4936209831080566E-3</v>
      </c>
      <c r="E723" s="60">
        <f>LN('Price Data'!E724/'Price Data'!E723)</f>
        <v>1.1745483041278247E-2</v>
      </c>
      <c r="F723" s="60">
        <f>LN('Price Data'!F724/'Price Data'!F723)</f>
        <v>9.5296145502020381E-4</v>
      </c>
    </row>
    <row r="724" spans="1:6" x14ac:dyDescent="0.35">
      <c r="A724" s="2">
        <v>45629</v>
      </c>
      <c r="B724" s="60">
        <f>LN('Price Data'!B725/'Price Data'!B724)</f>
        <v>1.0750545143122221E-2</v>
      </c>
      <c r="C724" s="60">
        <f>LN('Price Data'!C725/'Price Data'!C724)</f>
        <v>6.0843603322457245E-3</v>
      </c>
      <c r="D724" s="60">
        <f>LN('Price Data'!D725/'Price Data'!D724)</f>
        <v>2.8702111129978495E-3</v>
      </c>
      <c r="E724" s="60">
        <f>LN('Price Data'!E725/'Price Data'!E724)</f>
        <v>6.5219351515141558E-3</v>
      </c>
      <c r="F724" s="60">
        <f>LN('Price Data'!F725/'Price Data'!F724)</f>
        <v>-9.7943975922875851E-3</v>
      </c>
    </row>
    <row r="725" spans="1:6" x14ac:dyDescent="0.35">
      <c r="A725" s="2">
        <v>45630</v>
      </c>
      <c r="B725" s="60">
        <f>LN('Price Data'!B726/'Price Data'!B725)</f>
        <v>-1.0903327695652084E-2</v>
      </c>
      <c r="C725" s="60">
        <f>LN('Price Data'!C726/'Price Data'!C725)</f>
        <v>1.1932474969900152E-2</v>
      </c>
      <c r="D725" s="60">
        <f>LN('Price Data'!D726/'Price Data'!D725)</f>
        <v>5.8298094202553904E-3</v>
      </c>
      <c r="E725" s="60">
        <f>LN('Price Data'!E726/'Price Data'!E725)</f>
        <v>-1.5073984368858997E-3</v>
      </c>
      <c r="F725" s="60">
        <f>LN('Price Data'!F726/'Price Data'!F725)</f>
        <v>-1.1609724064522663E-2</v>
      </c>
    </row>
    <row r="726" spans="1:6" x14ac:dyDescent="0.35">
      <c r="A726" s="2">
        <v>45631</v>
      </c>
      <c r="B726" s="60">
        <f>LN('Price Data'!B727/'Price Data'!B726)</f>
        <v>9.9582730956677204E-3</v>
      </c>
      <c r="C726" s="60">
        <f>LN('Price Data'!C727/'Price Data'!C726)</f>
        <v>2.4869597595275104E-2</v>
      </c>
      <c r="D726" s="60">
        <f>LN('Price Data'!D727/'Price Data'!D726)</f>
        <v>1.5419430494489277E-2</v>
      </c>
      <c r="E726" s="60">
        <f>LN('Price Data'!E727/'Price Data'!E726)</f>
        <v>2.3849879178425484E-2</v>
      </c>
      <c r="F726" s="60">
        <f>LN('Price Data'!F727/'Price Data'!F726)</f>
        <v>8.5959242517806187E-4</v>
      </c>
    </row>
    <row r="727" spans="1:6" x14ac:dyDescent="0.35">
      <c r="A727" s="2">
        <v>45632</v>
      </c>
      <c r="B727" s="60">
        <f>LN('Price Data'!B728/'Price Data'!B727)</f>
        <v>-7.9739183136335844E-3</v>
      </c>
      <c r="C727" s="60">
        <f>LN('Price Data'!C728/'Price Data'!C727)</f>
        <v>-4.164077154071591E-3</v>
      </c>
      <c r="D727" s="60">
        <f>LN('Price Data'!D728/'Price Data'!D727)</f>
        <v>-5.8156059228160369E-3</v>
      </c>
      <c r="E727" s="60">
        <f>LN('Price Data'!E728/'Price Data'!E727)</f>
        <v>-6.4553986569955727E-3</v>
      </c>
      <c r="F727" s="60">
        <f>LN('Price Data'!F728/'Price Data'!F727)</f>
        <v>7.770571888118678E-3</v>
      </c>
    </row>
    <row r="728" spans="1:6" x14ac:dyDescent="0.35">
      <c r="A728" s="2">
        <v>45635</v>
      </c>
      <c r="B728" s="60">
        <f>LN('Price Data'!B729/'Price Data'!B728)</f>
        <v>-1.2583125323707487E-2</v>
      </c>
      <c r="C728" s="60">
        <f>LN('Price Data'!C729/'Price Data'!C728)</f>
        <v>1.4947769890266899E-3</v>
      </c>
      <c r="D728" s="60">
        <f>LN('Price Data'!D729/'Price Data'!D728)</f>
        <v>-4.8660060933805845E-3</v>
      </c>
      <c r="E728" s="60">
        <f>LN('Price Data'!E729/'Price Data'!E728)</f>
        <v>6.5001757336104844E-4</v>
      </c>
      <c r="F728" s="60">
        <f>LN('Price Data'!F729/'Price Data'!F728)</f>
        <v>-1.3234756618687584E-2</v>
      </c>
    </row>
    <row r="729" spans="1:6" x14ac:dyDescent="0.35">
      <c r="A729" s="2">
        <v>45636</v>
      </c>
      <c r="B729" s="60">
        <f>LN('Price Data'!B730/'Price Data'!B729)</f>
        <v>-7.9845385435218935E-3</v>
      </c>
      <c r="C729" s="60">
        <f>LN('Price Data'!C730/'Price Data'!C729)</f>
        <v>-4.4120863496307844E-3</v>
      </c>
      <c r="D729" s="60">
        <f>LN('Price Data'!D730/'Price Data'!D729)</f>
        <v>6.1445862916297408E-3</v>
      </c>
      <c r="E729" s="60">
        <f>LN('Price Data'!E730/'Price Data'!E729)</f>
        <v>1.286108321860247E-2</v>
      </c>
      <c r="F729" s="60">
        <f>LN('Price Data'!F730/'Price Data'!F729)</f>
        <v>1.0679756062406094E-3</v>
      </c>
    </row>
    <row r="730" spans="1:6" x14ac:dyDescent="0.35">
      <c r="A730" s="2">
        <v>45637</v>
      </c>
      <c r="B730" s="60">
        <f>LN('Price Data'!B731/'Price Data'!B730)</f>
        <v>-5.1891417819751465E-3</v>
      </c>
      <c r="C730" s="60">
        <f>LN('Price Data'!C731/'Price Data'!C730)</f>
        <v>-1.151241662139306E-3</v>
      </c>
      <c r="D730" s="60">
        <f>LN('Price Data'!D731/'Price Data'!D730)</f>
        <v>-2.2197567383128881E-3</v>
      </c>
      <c r="E730" s="60">
        <f>LN('Price Data'!E731/'Price Data'!E730)</f>
        <v>1.305241973421958E-2</v>
      </c>
      <c r="F730" s="60">
        <f>LN('Price Data'!F731/'Price Data'!F730)</f>
        <v>-4.3159748526181346E-4</v>
      </c>
    </row>
    <row r="731" spans="1:6" x14ac:dyDescent="0.35">
      <c r="A731" s="2">
        <v>45638</v>
      </c>
      <c r="B731" s="60">
        <f>LN('Price Data'!B732/'Price Data'!B731)</f>
        <v>-1.204217456405701E-2</v>
      </c>
      <c r="C731" s="60">
        <f>LN('Price Data'!C732/'Price Data'!C731)</f>
        <v>6.1920399589204663E-3</v>
      </c>
      <c r="D731" s="60">
        <f>LN('Price Data'!D732/'Price Data'!D731)</f>
        <v>1.3173992683539559E-3</v>
      </c>
      <c r="E731" s="60">
        <f>LN('Price Data'!E732/'Price Data'!E731)</f>
        <v>6.4880376033744722E-3</v>
      </c>
      <c r="F731" s="60">
        <f>LN('Price Data'!F732/'Price Data'!F731)</f>
        <v>-1.0047352350094947E-2</v>
      </c>
    </row>
    <row r="732" spans="1:6" x14ac:dyDescent="0.35">
      <c r="A732" s="2">
        <v>45639</v>
      </c>
      <c r="B732" s="60">
        <f>LN('Price Data'!B733/'Price Data'!B732)</f>
        <v>7.8478170693934111E-3</v>
      </c>
      <c r="C732" s="60">
        <f>LN('Price Data'!C733/'Price Data'!C732)</f>
        <v>4.244673939475559E-3</v>
      </c>
      <c r="D732" s="60">
        <f>LN('Price Data'!D733/'Price Data'!D732)</f>
        <v>1.1704787445055711E-2</v>
      </c>
      <c r="E732" s="60">
        <f>LN('Price Data'!E733/'Price Data'!E732)</f>
        <v>6.3712057391403865E-3</v>
      </c>
      <c r="F732" s="60">
        <f>LN('Price Data'!F733/'Price Data'!F732)</f>
        <v>2.0219690167365908E-2</v>
      </c>
    </row>
    <row r="733" spans="1:6" x14ac:dyDescent="0.35">
      <c r="A733" s="2">
        <v>45642</v>
      </c>
      <c r="B733" s="60">
        <f>LN('Price Data'!B734/'Price Data'!B733)</f>
        <v>-3.5810596481339139E-3</v>
      </c>
      <c r="C733" s="60">
        <f>LN('Price Data'!C734/'Price Data'!C733)</f>
        <v>-1.320737831155468E-2</v>
      </c>
      <c r="D733" s="60">
        <f>LN('Price Data'!D734/'Price Data'!D733)</f>
        <v>8.9186182054375792E-4</v>
      </c>
      <c r="E733" s="60">
        <f>LN('Price Data'!E734/'Price Data'!E733)</f>
        <v>-9.8750723959634794E-3</v>
      </c>
      <c r="F733" s="60">
        <f>LN('Price Data'!F734/'Price Data'!F733)</f>
        <v>2.0239500828075839E-4</v>
      </c>
    </row>
    <row r="734" spans="1:6" x14ac:dyDescent="0.35">
      <c r="A734" s="2">
        <v>45643</v>
      </c>
      <c r="B734" s="60">
        <f>LN('Price Data'!B735/'Price Data'!B734)</f>
        <v>-1.8300956346281094E-2</v>
      </c>
      <c r="C734" s="60">
        <f>LN('Price Data'!C735/'Price Data'!C734)</f>
        <v>-1.9832071469462986E-2</v>
      </c>
      <c r="D734" s="60">
        <f>LN('Price Data'!D735/'Price Data'!D734)</f>
        <v>-9.2169990340841366E-3</v>
      </c>
      <c r="E734" s="60">
        <f>LN('Price Data'!E735/'Price Data'!E734)</f>
        <v>-1.7438999529102918E-3</v>
      </c>
      <c r="F734" s="60">
        <f>LN('Price Data'!F735/'Price Data'!F734)</f>
        <v>-1.1699591848870333E-3</v>
      </c>
    </row>
    <row r="735" spans="1:6" x14ac:dyDescent="0.35">
      <c r="A735" s="2">
        <v>45644</v>
      </c>
      <c r="B735" s="60">
        <f>LN('Price Data'!B736/'Price Data'!B735)</f>
        <v>6.3637124165100197E-3</v>
      </c>
      <c r="C735" s="60">
        <f>LN('Price Data'!C736/'Price Data'!C735)</f>
        <v>4.4604083701254519E-3</v>
      </c>
      <c r="D735" s="60">
        <f>LN('Price Data'!D736/'Price Data'!D735)</f>
        <v>-1.4804454835480556E-2</v>
      </c>
      <c r="E735" s="60">
        <f>LN('Price Data'!E736/'Price Data'!E735)</f>
        <v>1.2892626446145809E-3</v>
      </c>
      <c r="F735" s="60">
        <f>LN('Price Data'!F736/'Price Data'!F735)</f>
        <v>2.0240645614816532E-3</v>
      </c>
    </row>
    <row r="736" spans="1:6" x14ac:dyDescent="0.35">
      <c r="A736" s="2">
        <v>45645</v>
      </c>
      <c r="B736" s="60">
        <f>LN('Price Data'!B737/'Price Data'!B736)</f>
        <v>-1.8360221026744155E-2</v>
      </c>
      <c r="C736" s="60">
        <f>LN('Price Data'!C737/'Price Data'!C736)</f>
        <v>-1.7622776899600668E-2</v>
      </c>
      <c r="D736" s="60">
        <f>LN('Price Data'!D737/'Price Data'!D736)</f>
        <v>-2.0953843280863374E-2</v>
      </c>
      <c r="E736" s="60">
        <f>LN('Price Data'!E737/'Price Data'!E736)</f>
        <v>-1.6788706198809462E-2</v>
      </c>
      <c r="F736" s="60">
        <f>LN('Price Data'!F737/'Price Data'!F736)</f>
        <v>-8.4381070576333116E-3</v>
      </c>
    </row>
    <row r="737" spans="1:6" x14ac:dyDescent="0.35">
      <c r="A737" s="2">
        <v>45646</v>
      </c>
      <c r="B737" s="60">
        <f>LN('Price Data'!B738/'Price Data'!B737)</f>
        <v>-2.0651457522570752E-2</v>
      </c>
      <c r="C737" s="60">
        <f>LN('Price Data'!C738/'Price Data'!C737)</f>
        <v>-2.4070717475196554E-2</v>
      </c>
      <c r="D737" s="60">
        <f>LN('Price Data'!D738/'Price Data'!D737)</f>
        <v>1.1649129574244788E-3</v>
      </c>
      <c r="E737" s="60">
        <f>LN('Price Data'!E738/'Price Data'!E737)</f>
        <v>-1.2434402198427799E-2</v>
      </c>
      <c r="F737" s="60">
        <f>LN('Price Data'!F738/'Price Data'!F737)</f>
        <v>-4.0638926214798653E-3</v>
      </c>
    </row>
    <row r="738" spans="1:6" x14ac:dyDescent="0.35">
      <c r="A738" s="2">
        <v>45649</v>
      </c>
      <c r="B738" s="60">
        <f>LN('Price Data'!B739/'Price Data'!B738)</f>
        <v>1.4005831188919168E-2</v>
      </c>
      <c r="C738" s="60">
        <f>LN('Price Data'!C739/'Price Data'!C738)</f>
        <v>-2.8816387637395444E-3</v>
      </c>
      <c r="D738" s="60">
        <f>LN('Price Data'!D739/'Price Data'!D738)</f>
        <v>6.4985529644224884E-3</v>
      </c>
      <c r="E738" s="60">
        <f>LN('Price Data'!E739/'Price Data'!E738)</f>
        <v>1.1179140370524651E-3</v>
      </c>
      <c r="F738" s="60">
        <f>LN('Price Data'!F739/'Price Data'!F738)</f>
        <v>2.0446097401371204E-2</v>
      </c>
    </row>
    <row r="739" spans="1:6" x14ac:dyDescent="0.35">
      <c r="A739" s="2">
        <v>45650</v>
      </c>
      <c r="B739" s="60">
        <f>LN('Price Data'!B740/'Price Data'!B739)</f>
        <v>3.6809063624950236E-4</v>
      </c>
      <c r="C739" s="60">
        <f>LN('Price Data'!C740/'Price Data'!C739)</f>
        <v>5.0852852517937691E-3</v>
      </c>
      <c r="D739" s="60">
        <f>LN('Price Data'!D740/'Price Data'!D739)</f>
        <v>3.469478263827358E-4</v>
      </c>
      <c r="E739" s="60">
        <f>LN('Price Data'!E740/'Price Data'!E739)</f>
        <v>-7.9565291203474737E-3</v>
      </c>
      <c r="F739" s="60">
        <f>LN('Price Data'!F740/'Price Data'!F739)</f>
        <v>8.8098476085337746E-3</v>
      </c>
    </row>
    <row r="740" spans="1:6" x14ac:dyDescent="0.35">
      <c r="A740" s="2">
        <v>45652</v>
      </c>
      <c r="B740" s="60">
        <f>LN('Price Data'!B741/'Price Data'!B740)</f>
        <v>-5.0834365197774149E-3</v>
      </c>
      <c r="C740" s="60">
        <f>LN('Price Data'!C741/'Price Data'!C740)</f>
        <v>-2.4914369785647276E-3</v>
      </c>
      <c r="D740" s="60">
        <f>LN('Price Data'!D741/'Price Data'!D740)</f>
        <v>7.7083172781458839E-5</v>
      </c>
      <c r="E740" s="60">
        <f>LN('Price Data'!E741/'Price Data'!E740)</f>
        <v>-8.6467796135369457E-4</v>
      </c>
      <c r="F740" s="60">
        <f>LN('Price Data'!F741/'Price Data'!F740)</f>
        <v>-3.1422211687512631E-3</v>
      </c>
    </row>
    <row r="741" spans="1:6" x14ac:dyDescent="0.35">
      <c r="A741" s="2">
        <v>45653</v>
      </c>
      <c r="B741" s="60">
        <f>LN('Price Data'!B742/'Price Data'!B741)</f>
        <v>3.6921604135354922E-3</v>
      </c>
      <c r="C741" s="60">
        <f>LN('Price Data'!C742/'Price Data'!C741)</f>
        <v>-1.0199246139994413E-3</v>
      </c>
      <c r="D741" s="60">
        <f>LN('Price Data'!D742/'Price Data'!D741)</f>
        <v>7.8314347050641876E-3</v>
      </c>
      <c r="E741" s="60">
        <f>LN('Price Data'!E742/'Price Data'!E741)</f>
        <v>4.8899852941917702E-3</v>
      </c>
      <c r="F741" s="60">
        <f>LN('Price Data'!F742/'Price Data'!F741)</f>
        <v>3.4514835803703E-3</v>
      </c>
    </row>
    <row r="742" spans="1:6" x14ac:dyDescent="0.35">
      <c r="A742" s="2">
        <v>45656</v>
      </c>
      <c r="B742" s="60">
        <f>LN('Price Data'!B743/'Price Data'!B742)</f>
        <v>-8.5124395995299709E-3</v>
      </c>
      <c r="C742" s="60">
        <f>LN('Price Data'!C743/'Price Data'!C742)</f>
        <v>-1.4536894428313759E-3</v>
      </c>
      <c r="D742" s="60">
        <f>LN('Price Data'!D743/'Price Data'!D742)</f>
        <v>-9.9147687919183079E-3</v>
      </c>
      <c r="E742" s="60">
        <f>LN('Price Data'!E743/'Price Data'!E742)</f>
        <v>-5.6242382248563941E-3</v>
      </c>
      <c r="F742" s="60">
        <f>LN('Price Data'!F743/'Price Data'!F742)</f>
        <v>-3.3406741171286766E-3</v>
      </c>
    </row>
    <row r="743" spans="1:6" x14ac:dyDescent="0.35">
      <c r="A743" s="2">
        <v>45657</v>
      </c>
      <c r="B743" s="60">
        <f>LN('Price Data'!B744/'Price Data'!B743)</f>
        <v>3.915673861149372E-3</v>
      </c>
      <c r="C743" s="60">
        <f>LN('Price Data'!C744/'Price Data'!C743)</f>
        <v>-1.5508695058199382E-2</v>
      </c>
      <c r="D743" s="60">
        <f>LN('Price Data'!D744/'Price Data'!D743)</f>
        <v>-1.0092078047863462E-2</v>
      </c>
      <c r="E743" s="60">
        <f>LN('Price Data'!E744/'Price Data'!E743)</f>
        <v>-1.3735028390152519E-2</v>
      </c>
      <c r="F743" s="60">
        <f>LN('Price Data'!F744/'Price Data'!F743)</f>
        <v>1.3842802940546585E-2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09CD-FAEF-4520-B5C3-11AA5EA087CC}">
  <dimension ref="A1:G743"/>
  <sheetViews>
    <sheetView zoomScale="72" zoomScaleNormal="72" workbookViewId="0">
      <selection activeCell="D1" sqref="D1:D1048576"/>
    </sheetView>
  </sheetViews>
  <sheetFormatPr defaultRowHeight="14.5" x14ac:dyDescent="0.35"/>
  <cols>
    <col min="1" max="1" width="10.26953125" customWidth="1"/>
    <col min="2" max="2" width="10.7265625" customWidth="1"/>
    <col min="3" max="3" width="10.08984375" style="2" bestFit="1" customWidth="1"/>
    <col min="4" max="4" width="18.08984375" style="53" customWidth="1"/>
    <col min="6" max="6" width="19.90625" customWidth="1"/>
    <col min="7" max="7" width="14.26953125" bestFit="1" customWidth="1"/>
  </cols>
  <sheetData>
    <row r="1" spans="1:7" ht="17.5" thickBot="1" x14ac:dyDescent="0.55000000000000004">
      <c r="A1" s="5" t="s">
        <v>6</v>
      </c>
      <c r="B1" s="5" t="s">
        <v>7</v>
      </c>
      <c r="C1" s="66" t="s">
        <v>10</v>
      </c>
      <c r="D1" s="52" t="s">
        <v>9</v>
      </c>
      <c r="F1" s="27" t="s">
        <v>11</v>
      </c>
      <c r="G1" s="17"/>
    </row>
    <row r="2" spans="1:7" x14ac:dyDescent="0.35">
      <c r="A2" s="18" t="s">
        <v>1</v>
      </c>
      <c r="B2" s="19">
        <v>0.2</v>
      </c>
      <c r="C2" s="2">
        <f>'Log Returns'!A2</f>
        <v>44565</v>
      </c>
      <c r="D2" s="53">
        <f>('Log Returns'!B2*$B$2)+('Log Returns'!C2*$B$3)+('Log Returns'!D2*$B$4)+('Log Returns'!E2*$B$5)+('Log Returns'!F2*$B$6)</f>
        <v>1.1182879484670987E-2</v>
      </c>
      <c r="F2" s="10" t="s">
        <v>15</v>
      </c>
      <c r="G2" s="11">
        <f>PERCENTILE(D2:D743,0.01)</f>
        <v>-2.4458931880814088E-2</v>
      </c>
    </row>
    <row r="3" spans="1:7" x14ac:dyDescent="0.35">
      <c r="A3" s="20" t="s">
        <v>2</v>
      </c>
      <c r="B3" s="21">
        <v>0.2</v>
      </c>
      <c r="C3" s="2">
        <f>'Log Returns'!A3</f>
        <v>44566</v>
      </c>
      <c r="D3" s="53">
        <f>('Log Returns'!B3*$B$2)+('Log Returns'!C3*$B$3)+('Log Returns'!D3*$B$4)+('Log Returns'!E3*$B$5)+('Log Returns'!F3*$B$6)</f>
        <v>-1.9514310158378425E-3</v>
      </c>
      <c r="F3" s="12" t="s">
        <v>12</v>
      </c>
      <c r="G3" s="13">
        <f>G2</f>
        <v>-2.4458931880814088E-2</v>
      </c>
    </row>
    <row r="4" spans="1:7" x14ac:dyDescent="0.35">
      <c r="A4" s="20" t="s">
        <v>3</v>
      </c>
      <c r="B4" s="21">
        <v>0.2</v>
      </c>
      <c r="C4" s="2">
        <f>'Log Returns'!A4</f>
        <v>44567</v>
      </c>
      <c r="D4" s="53">
        <f>('Log Returns'!B4*$B$2)+('Log Returns'!C4*$B$3)+('Log Returns'!D4*$B$4)+('Log Returns'!E4*$B$5)+('Log Returns'!F4*$B$6)</f>
        <v>-1.25173066997382E-2</v>
      </c>
      <c r="F4" s="12" t="s">
        <v>13</v>
      </c>
      <c r="G4" s="14">
        <v>1000000</v>
      </c>
    </row>
    <row r="5" spans="1:7" x14ac:dyDescent="0.35">
      <c r="A5" s="20" t="s">
        <v>4</v>
      </c>
      <c r="B5" s="21">
        <v>0.2</v>
      </c>
      <c r="C5" s="2">
        <f>'Log Returns'!A5</f>
        <v>44568</v>
      </c>
      <c r="D5" s="53">
        <f>('Log Returns'!B5*$B$2)+('Log Returns'!C5*$B$3)+('Log Returns'!D5*$B$4)+('Log Returns'!E5*$B$5)+('Log Returns'!F5*$B$6)</f>
        <v>5.4297802469574453E-3</v>
      </c>
      <c r="F5" s="12" t="s">
        <v>14</v>
      </c>
      <c r="G5" s="14">
        <f>G4*G2</f>
        <v>-24458.931880814089</v>
      </c>
    </row>
    <row r="6" spans="1:7" x14ac:dyDescent="0.35">
      <c r="A6" s="20" t="s">
        <v>5</v>
      </c>
      <c r="B6" s="21">
        <v>0.2</v>
      </c>
      <c r="C6" s="2">
        <f>'Log Returns'!A6</f>
        <v>44571</v>
      </c>
      <c r="D6" s="53">
        <f>('Log Returns'!B6*$B$2)+('Log Returns'!C6*$B$3)+('Log Returns'!D6*$B$4)+('Log Returns'!E6*$B$5)+('Log Returns'!F6*$B$6)</f>
        <v>1.4307551602278571E-2</v>
      </c>
      <c r="F6" s="12"/>
      <c r="G6" s="7"/>
    </row>
    <row r="7" spans="1:7" ht="15" thickBot="1" x14ac:dyDescent="0.4">
      <c r="A7" s="23" t="s">
        <v>8</v>
      </c>
      <c r="B7" s="22">
        <f>SUM(B2:B6)</f>
        <v>1</v>
      </c>
      <c r="C7" s="2">
        <f>'Log Returns'!A7</f>
        <v>44572</v>
      </c>
      <c r="D7" s="53">
        <f>('Log Returns'!B7*$B$2)+('Log Returns'!C7*$B$3)+('Log Returns'!D7*$B$4)+('Log Returns'!E7*$B$5)+('Log Returns'!F7*$B$6)</f>
        <v>2.5708721385186645E-3</v>
      </c>
      <c r="F7" s="12" t="s">
        <v>16</v>
      </c>
      <c r="G7" s="7">
        <f>PERCENTILE(D3:D744,0.05)</f>
        <v>-1.4353066081597915E-2</v>
      </c>
    </row>
    <row r="8" spans="1:7" x14ac:dyDescent="0.35">
      <c r="C8" s="2">
        <f>'Log Returns'!A8</f>
        <v>44573</v>
      </c>
      <c r="D8" s="53">
        <f>('Log Returns'!B8*$B$2)+('Log Returns'!C8*$B$3)+('Log Returns'!D8*$B$4)+('Log Returns'!E8*$B$5)+('Log Returns'!F8*$B$6)</f>
        <v>8.6542242736393962E-3</v>
      </c>
      <c r="F8" s="12" t="s">
        <v>12</v>
      </c>
      <c r="G8" s="13">
        <f>G7</f>
        <v>-1.4353066081597915E-2</v>
      </c>
    </row>
    <row r="9" spans="1:7" x14ac:dyDescent="0.35">
      <c r="C9" s="2">
        <f>'Log Returns'!A9</f>
        <v>44574</v>
      </c>
      <c r="D9" s="53">
        <f>('Log Returns'!B9*$B$2)+('Log Returns'!C9*$B$3)+('Log Returns'!D9*$B$4)+('Log Returns'!E9*$B$5)+('Log Returns'!F9*$B$6)</f>
        <v>6.4392229427935902E-3</v>
      </c>
      <c r="F9" s="12" t="s">
        <v>13</v>
      </c>
      <c r="G9" s="14">
        <f>G4</f>
        <v>1000000</v>
      </c>
    </row>
    <row r="10" spans="1:7" ht="15" thickBot="1" x14ac:dyDescent="0.4">
      <c r="C10" s="2">
        <f>'Log Returns'!A10</f>
        <v>44575</v>
      </c>
      <c r="D10" s="53">
        <f>('Log Returns'!B10*$B$2)+('Log Returns'!C10*$B$3)+('Log Returns'!D10*$B$4)+('Log Returns'!E10*$B$5)+('Log Returns'!F10*$B$6)</f>
        <v>4.9147912296658349E-3</v>
      </c>
      <c r="F10" s="15" t="s">
        <v>14</v>
      </c>
      <c r="G10" s="16">
        <f>G9*G7</f>
        <v>-14353.066081597915</v>
      </c>
    </row>
    <row r="11" spans="1:7" ht="15" thickBot="1" x14ac:dyDescent="0.4">
      <c r="C11" s="2">
        <f>'Log Returns'!A11</f>
        <v>44578</v>
      </c>
      <c r="D11" s="53">
        <f>('Log Returns'!B11*$B$2)+('Log Returns'!C11*$B$3)+('Log Returns'!D11*$B$4)+('Log Returns'!E11*$B$5)+('Log Returns'!F11*$B$6)</f>
        <v>6.2618283531617651E-3</v>
      </c>
    </row>
    <row r="12" spans="1:7" ht="17.5" thickBot="1" x14ac:dyDescent="0.55000000000000004">
      <c r="C12" s="2">
        <f>'Log Returns'!A12</f>
        <v>44579</v>
      </c>
      <c r="D12" s="53">
        <f>('Log Returns'!B12*$B$2)+('Log Returns'!C12*$B$3)+('Log Returns'!D12*$B$4)+('Log Returns'!E12*$B$5)+('Log Returns'!F12*$B$6)</f>
        <v>-8.3013322314267179E-3</v>
      </c>
      <c r="F12" s="25" t="s">
        <v>17</v>
      </c>
      <c r="G12" s="26"/>
    </row>
    <row r="13" spans="1:7" x14ac:dyDescent="0.35">
      <c r="C13" s="2">
        <f>'Log Returns'!A13</f>
        <v>44580</v>
      </c>
      <c r="D13" s="53">
        <f>('Log Returns'!B13*$B$2)+('Log Returns'!C13*$B$3)+('Log Returns'!D13*$B$4)+('Log Returns'!E13*$B$5)+('Log Returns'!F13*$B$6)</f>
        <v>-1.3447475074478705E-2</v>
      </c>
      <c r="F13" s="12" t="s">
        <v>18</v>
      </c>
      <c r="G13" s="7">
        <f>AVERAGE(D2:D743)</f>
        <v>3.829922910011048E-4</v>
      </c>
    </row>
    <row r="14" spans="1:7" x14ac:dyDescent="0.35">
      <c r="B14" s="9"/>
      <c r="C14" s="2">
        <f>'Log Returns'!A14</f>
        <v>44581</v>
      </c>
      <c r="D14" s="53">
        <f>('Log Returns'!B14*$B$2)+('Log Returns'!C14*$B$3)+('Log Returns'!D14*$B$4)+('Log Returns'!E14*$B$5)+('Log Returns'!F14*$B$6)</f>
        <v>-1.3833329913778915E-2</v>
      </c>
      <c r="F14" s="12" t="s">
        <v>19</v>
      </c>
      <c r="G14" s="7">
        <f>STDEV(D2:D743)</f>
        <v>9.4020270379868969E-3</v>
      </c>
    </row>
    <row r="15" spans="1:7" x14ac:dyDescent="0.35">
      <c r="C15" s="2">
        <f>'Log Returns'!A15</f>
        <v>44582</v>
      </c>
      <c r="D15" s="53">
        <f>('Log Returns'!B15*$B$2)+('Log Returns'!C15*$B$3)+('Log Returns'!D15*$B$4)+('Log Returns'!E15*$B$5)+('Log Returns'!F15*$B$6)</f>
        <v>-6.8011825427007622E-3</v>
      </c>
      <c r="F15" s="12"/>
      <c r="G15" s="7"/>
    </row>
    <row r="16" spans="1:7" x14ac:dyDescent="0.35">
      <c r="C16" s="2">
        <f>'Log Returns'!A16</f>
        <v>44585</v>
      </c>
      <c r="D16" s="53">
        <f>('Log Returns'!B16*$B$2)+('Log Returns'!C16*$B$3)+('Log Returns'!D16*$B$4)+('Log Returns'!E16*$B$5)+('Log Returns'!F16*$B$6)</f>
        <v>-2.3463703588195925E-2</v>
      </c>
      <c r="F16" s="12" t="s">
        <v>20</v>
      </c>
      <c r="G16" s="7">
        <f>G13-(2.326*G14)</f>
        <v>-2.1486122599356419E-2</v>
      </c>
    </row>
    <row r="17" spans="3:7" x14ac:dyDescent="0.35">
      <c r="C17" s="2">
        <f>'Log Returns'!A17</f>
        <v>44586</v>
      </c>
      <c r="D17" s="53">
        <f>('Log Returns'!B17*$B$2)+('Log Returns'!C17*$B$3)+('Log Returns'!D17*$B$4)+('Log Returns'!E17*$B$5)+('Log Returns'!F17*$B$6)</f>
        <v>9.8442817474349558E-4</v>
      </c>
      <c r="F17" s="12" t="s">
        <v>12</v>
      </c>
      <c r="G17" s="13">
        <f>G16</f>
        <v>-2.1486122599356419E-2</v>
      </c>
    </row>
    <row r="18" spans="3:7" x14ac:dyDescent="0.35">
      <c r="C18" s="2">
        <f>'Log Returns'!A18</f>
        <v>44588</v>
      </c>
      <c r="D18" s="53">
        <f>('Log Returns'!B18*$B$2)+('Log Returns'!C18*$B$3)+('Log Returns'!D18*$B$4)+('Log Returns'!E18*$B$5)+('Log Returns'!F18*$B$6)</f>
        <v>-1.6087481203742555E-2</v>
      </c>
      <c r="F18" s="12" t="s">
        <v>13</v>
      </c>
      <c r="G18" s="14">
        <f>G4</f>
        <v>1000000</v>
      </c>
    </row>
    <row r="19" spans="3:7" x14ac:dyDescent="0.35">
      <c r="C19" s="2">
        <f>'Log Returns'!A19</f>
        <v>44589</v>
      </c>
      <c r="D19" s="53">
        <f>('Log Returns'!B19*$B$2)+('Log Returns'!C19*$B$3)+('Log Returns'!D19*$B$4)+('Log Returns'!E19*$B$5)+('Log Returns'!F19*$B$6)</f>
        <v>2.284459200059966E-3</v>
      </c>
      <c r="F19" s="12" t="s">
        <v>14</v>
      </c>
      <c r="G19" s="14">
        <f>G18*G17</f>
        <v>-21486.122599356419</v>
      </c>
    </row>
    <row r="20" spans="3:7" x14ac:dyDescent="0.35">
      <c r="C20" s="2">
        <f>'Log Returns'!A20</f>
        <v>44592</v>
      </c>
      <c r="D20" s="53">
        <f>('Log Returns'!B20*$B$2)+('Log Returns'!C20*$B$3)+('Log Returns'!D20*$B$4)+('Log Returns'!E20*$B$5)+('Log Returns'!F20*$B$6)</f>
        <v>1.6956772139744204E-2</v>
      </c>
      <c r="F20" s="6"/>
      <c r="G20" s="7"/>
    </row>
    <row r="21" spans="3:7" x14ac:dyDescent="0.35">
      <c r="C21" s="2">
        <f>'Log Returns'!A21</f>
        <v>44593</v>
      </c>
      <c r="D21" s="53">
        <f>('Log Returns'!B21*$B$2)+('Log Returns'!C21*$B$3)+('Log Returns'!D21*$B$4)+('Log Returns'!E21*$B$5)+('Log Returns'!F21*$B$6)</f>
        <v>1.8962536342330354E-2</v>
      </c>
      <c r="F21" s="12" t="s">
        <v>16</v>
      </c>
      <c r="G21" s="7">
        <f>G13-(1.64*G14)</f>
        <v>-1.5036332051297405E-2</v>
      </c>
    </row>
    <row r="22" spans="3:7" x14ac:dyDescent="0.35">
      <c r="C22" s="2">
        <f>'Log Returns'!A22</f>
        <v>44594</v>
      </c>
      <c r="D22" s="53">
        <f>('Log Returns'!B22*$B$2)+('Log Returns'!C22*$B$3)+('Log Returns'!D22*$B$4)+('Log Returns'!E22*$B$5)+('Log Returns'!F22*$B$6)</f>
        <v>9.6773006091781782E-3</v>
      </c>
      <c r="F22" s="12" t="s">
        <v>12</v>
      </c>
      <c r="G22" s="13">
        <f>G21</f>
        <v>-1.5036332051297405E-2</v>
      </c>
    </row>
    <row r="23" spans="3:7" x14ac:dyDescent="0.35">
      <c r="C23" s="2">
        <f>'Log Returns'!A23</f>
        <v>44595</v>
      </c>
      <c r="D23" s="53">
        <f>('Log Returns'!B23*$B$2)+('Log Returns'!C23*$B$3)+('Log Returns'!D23*$B$4)+('Log Returns'!E23*$B$5)+('Log Returns'!F23*$B$6)</f>
        <v>-8.9667534428543375E-3</v>
      </c>
      <c r="F23" s="12" t="s">
        <v>13</v>
      </c>
      <c r="G23" s="28">
        <f>G18</f>
        <v>1000000</v>
      </c>
    </row>
    <row r="24" spans="3:7" ht="15" thickBot="1" x14ac:dyDescent="0.4">
      <c r="C24" s="2">
        <f>'Log Returns'!A24</f>
        <v>44596</v>
      </c>
      <c r="D24" s="53">
        <f>('Log Returns'!B24*$B$2)+('Log Returns'!C24*$B$3)+('Log Returns'!D24*$B$4)+('Log Returns'!E24*$B$5)+('Log Returns'!F24*$B$6)</f>
        <v>-3.1397812390691095E-3</v>
      </c>
      <c r="F24" s="15" t="s">
        <v>14</v>
      </c>
      <c r="G24" s="16">
        <f>G23*G22</f>
        <v>-15036.332051297404</v>
      </c>
    </row>
    <row r="25" spans="3:7" x14ac:dyDescent="0.35">
      <c r="C25" s="2">
        <f>'Log Returns'!A25</f>
        <v>44599</v>
      </c>
      <c r="D25" s="53">
        <f>('Log Returns'!B25*$B$2)+('Log Returns'!C25*$B$3)+('Log Returns'!D25*$B$4)+('Log Returns'!E25*$B$5)+('Log Returns'!F25*$B$6)</f>
        <v>-1.4353066081597915E-2</v>
      </c>
    </row>
    <row r="26" spans="3:7" x14ac:dyDescent="0.35">
      <c r="C26" s="2">
        <f>'Log Returns'!A26</f>
        <v>44600</v>
      </c>
      <c r="D26" s="53">
        <f>('Log Returns'!B26*$B$2)+('Log Returns'!C26*$B$3)+('Log Returns'!D26*$B$4)+('Log Returns'!E26*$B$5)+('Log Returns'!F26*$B$6)</f>
        <v>4.1671630051187594E-3</v>
      </c>
    </row>
    <row r="27" spans="3:7" x14ac:dyDescent="0.35">
      <c r="C27" s="2">
        <f>'Log Returns'!A27</f>
        <v>44601</v>
      </c>
      <c r="D27" s="53">
        <f>('Log Returns'!B27*$B$2)+('Log Returns'!C27*$B$3)+('Log Returns'!D27*$B$4)+('Log Returns'!E27*$B$5)+('Log Returns'!F27*$B$6)</f>
        <v>7.1729306240567343E-3</v>
      </c>
    </row>
    <row r="28" spans="3:7" x14ac:dyDescent="0.35">
      <c r="C28" s="2">
        <f>'Log Returns'!A28</f>
        <v>44602</v>
      </c>
      <c r="D28" s="53">
        <f>('Log Returns'!B28*$B$2)+('Log Returns'!C28*$B$3)+('Log Returns'!D28*$B$4)+('Log Returns'!E28*$B$5)+('Log Returns'!F28*$B$6)</f>
        <v>6.4876384148777107E-3</v>
      </c>
    </row>
    <row r="29" spans="3:7" x14ac:dyDescent="0.35">
      <c r="C29" s="2">
        <f>'Log Returns'!A29</f>
        <v>44603</v>
      </c>
      <c r="D29" s="53">
        <f>('Log Returns'!B29*$B$2)+('Log Returns'!C29*$B$3)+('Log Returns'!D29*$B$4)+('Log Returns'!E29*$B$5)+('Log Returns'!F29*$B$6)</f>
        <v>-1.3471386161545799E-2</v>
      </c>
    </row>
    <row r="30" spans="3:7" x14ac:dyDescent="0.35">
      <c r="C30" s="2">
        <f>'Log Returns'!A30</f>
        <v>44606</v>
      </c>
      <c r="D30" s="53">
        <f>('Log Returns'!B30*$B$2)+('Log Returns'!C30*$B$3)+('Log Returns'!D30*$B$4)+('Log Returns'!E30*$B$5)+('Log Returns'!F30*$B$6)</f>
        <v>-2.6843243927530704E-2</v>
      </c>
    </row>
    <row r="31" spans="3:7" x14ac:dyDescent="0.35">
      <c r="C31" s="2">
        <f>'Log Returns'!A31</f>
        <v>44607</v>
      </c>
      <c r="D31" s="53">
        <f>('Log Returns'!B31*$B$2)+('Log Returns'!C31*$B$3)+('Log Returns'!D31*$B$4)+('Log Returns'!E31*$B$5)+('Log Returns'!F31*$B$6)</f>
        <v>2.6738923446821522E-2</v>
      </c>
    </row>
    <row r="32" spans="3:7" x14ac:dyDescent="0.35">
      <c r="C32" s="2">
        <f>'Log Returns'!A32</f>
        <v>44608</v>
      </c>
      <c r="D32" s="53">
        <f>('Log Returns'!B32*$B$2)+('Log Returns'!C32*$B$3)+('Log Returns'!D32*$B$4)+('Log Returns'!E32*$B$5)+('Log Returns'!F32*$B$6)</f>
        <v>-4.5718680191814791E-3</v>
      </c>
    </row>
    <row r="33" spans="3:4" x14ac:dyDescent="0.35">
      <c r="C33" s="2">
        <f>'Log Returns'!A33</f>
        <v>44609</v>
      </c>
      <c r="D33" s="53">
        <f>('Log Returns'!B33*$B$2)+('Log Returns'!C33*$B$3)+('Log Returns'!D33*$B$4)+('Log Returns'!E33*$B$5)+('Log Returns'!F33*$B$6)</f>
        <v>-3.6965867701654535E-3</v>
      </c>
    </row>
    <row r="34" spans="3:4" x14ac:dyDescent="0.35">
      <c r="C34" s="2">
        <f>'Log Returns'!A34</f>
        <v>44610</v>
      </c>
      <c r="D34" s="53">
        <f>('Log Returns'!B34*$B$2)+('Log Returns'!C34*$B$3)+('Log Returns'!D34*$B$4)+('Log Returns'!E34*$B$5)+('Log Returns'!F34*$B$6)</f>
        <v>-4.1997474874777216E-3</v>
      </c>
    </row>
    <row r="35" spans="3:4" x14ac:dyDescent="0.35">
      <c r="C35" s="2">
        <f>'Log Returns'!A35</f>
        <v>44613</v>
      </c>
      <c r="D35" s="53">
        <f>('Log Returns'!B35*$B$2)+('Log Returns'!C35*$B$3)+('Log Returns'!D35*$B$4)+('Log Returns'!E35*$B$5)+('Log Returns'!F35*$B$6)</f>
        <v>-5.3036751384183695E-3</v>
      </c>
    </row>
    <row r="36" spans="3:4" x14ac:dyDescent="0.35">
      <c r="C36" s="2">
        <f>'Log Returns'!A36</f>
        <v>44614</v>
      </c>
      <c r="D36" s="53">
        <f>('Log Returns'!B36*$B$2)+('Log Returns'!C36*$B$3)+('Log Returns'!D36*$B$4)+('Log Returns'!E36*$B$5)+('Log Returns'!F36*$B$6)</f>
        <v>-1.1519960120515505E-2</v>
      </c>
    </row>
    <row r="37" spans="3:4" x14ac:dyDescent="0.35">
      <c r="C37" s="2">
        <f>'Log Returns'!A37</f>
        <v>44615</v>
      </c>
      <c r="D37" s="53">
        <f>('Log Returns'!B37*$B$2)+('Log Returns'!C37*$B$3)+('Log Returns'!D37*$B$4)+('Log Returns'!E37*$B$5)+('Log Returns'!F37*$B$6)</f>
        <v>-2.312918138853092E-3</v>
      </c>
    </row>
    <row r="38" spans="3:4" x14ac:dyDescent="0.35">
      <c r="C38" s="2">
        <f>'Log Returns'!A38</f>
        <v>44616</v>
      </c>
      <c r="D38" s="53">
        <f>('Log Returns'!B38*$B$2)+('Log Returns'!C38*$B$3)+('Log Returns'!D38*$B$4)+('Log Returns'!E38*$B$5)+('Log Returns'!F38*$B$6)</f>
        <v>-4.43740562797377E-2</v>
      </c>
    </row>
    <row r="39" spans="3:4" x14ac:dyDescent="0.35">
      <c r="C39" s="2">
        <f>'Log Returns'!A39</f>
        <v>44617</v>
      </c>
      <c r="D39" s="53">
        <f>('Log Returns'!B39*$B$2)+('Log Returns'!C39*$B$3)+('Log Returns'!D39*$B$4)+('Log Returns'!E39*$B$5)+('Log Returns'!F39*$B$6)</f>
        <v>2.2782265663331407E-2</v>
      </c>
    </row>
    <row r="40" spans="3:4" x14ac:dyDescent="0.35">
      <c r="C40" s="2">
        <f>'Log Returns'!A40</f>
        <v>44620</v>
      </c>
      <c r="D40" s="53">
        <f>('Log Returns'!B40*$B$2)+('Log Returns'!C40*$B$3)+('Log Returns'!D40*$B$4)+('Log Returns'!E40*$B$5)+('Log Returns'!F40*$B$6)</f>
        <v>1.6071998816094238E-2</v>
      </c>
    </row>
    <row r="41" spans="3:4" x14ac:dyDescent="0.35">
      <c r="C41" s="2">
        <f>'Log Returns'!A41</f>
        <v>44622</v>
      </c>
      <c r="D41" s="53">
        <f>('Log Returns'!B41*$B$2)+('Log Returns'!C41*$B$3)+('Log Returns'!D41*$B$4)+('Log Returns'!E41*$B$5)+('Log Returns'!F41*$B$6)</f>
        <v>-6.8273450896952047E-3</v>
      </c>
    </row>
    <row r="42" spans="3:4" x14ac:dyDescent="0.35">
      <c r="C42" s="2">
        <f>'Log Returns'!A42</f>
        <v>44623</v>
      </c>
      <c r="D42" s="53">
        <f>('Log Returns'!B42*$B$2)+('Log Returns'!C42*$B$3)+('Log Returns'!D42*$B$4)+('Log Returns'!E42*$B$5)+('Log Returns'!F42*$B$6)</f>
        <v>-5.9710683367148864E-4</v>
      </c>
    </row>
    <row r="43" spans="3:4" x14ac:dyDescent="0.35">
      <c r="C43" s="2">
        <f>'Log Returns'!A43</f>
        <v>44624</v>
      </c>
      <c r="D43" s="53">
        <f>('Log Returns'!B43*$B$2)+('Log Returns'!C43*$B$3)+('Log Returns'!D43*$B$4)+('Log Returns'!E43*$B$5)+('Log Returns'!F43*$B$6)</f>
        <v>-2.8077432337820767E-3</v>
      </c>
    </row>
    <row r="44" spans="3:4" x14ac:dyDescent="0.35">
      <c r="C44" s="2">
        <f>'Log Returns'!A44</f>
        <v>44627</v>
      </c>
      <c r="D44" s="53">
        <f>('Log Returns'!B44*$B$2)+('Log Returns'!C44*$B$3)+('Log Returns'!D44*$B$4)+('Log Returns'!E44*$B$5)+('Log Returns'!F44*$B$6)</f>
        <v>-1.8592163484137589E-2</v>
      </c>
    </row>
    <row r="45" spans="3:4" x14ac:dyDescent="0.35">
      <c r="C45" s="2">
        <f>'Log Returns'!A45</f>
        <v>44628</v>
      </c>
      <c r="D45" s="53">
        <f>('Log Returns'!B45*$B$2)+('Log Returns'!C45*$B$3)+('Log Returns'!D45*$B$4)+('Log Returns'!E45*$B$5)+('Log Returns'!F45*$B$6)</f>
        <v>1.5632997649709889E-2</v>
      </c>
    </row>
    <row r="46" spans="3:4" x14ac:dyDescent="0.35">
      <c r="C46" s="2">
        <f>'Log Returns'!A46</f>
        <v>44629</v>
      </c>
      <c r="D46" s="53">
        <f>('Log Returns'!B46*$B$2)+('Log Returns'!C46*$B$3)+('Log Returns'!D46*$B$4)+('Log Returns'!E46*$B$5)+('Log Returns'!F46*$B$6)</f>
        <v>1.8856288898287811E-2</v>
      </c>
    </row>
    <row r="47" spans="3:4" x14ac:dyDescent="0.35">
      <c r="C47" s="2">
        <f>'Log Returns'!A47</f>
        <v>44630</v>
      </c>
      <c r="D47" s="53">
        <f>('Log Returns'!B47*$B$2)+('Log Returns'!C47*$B$3)+('Log Returns'!D47*$B$4)+('Log Returns'!E47*$B$5)+('Log Returns'!F47*$B$6)</f>
        <v>9.058766044757199E-3</v>
      </c>
    </row>
    <row r="48" spans="3:4" x14ac:dyDescent="0.35">
      <c r="C48" s="2">
        <f>'Log Returns'!A48</f>
        <v>44631</v>
      </c>
      <c r="D48" s="53">
        <f>('Log Returns'!B48*$B$2)+('Log Returns'!C48*$B$3)+('Log Returns'!D48*$B$4)+('Log Returns'!E48*$B$5)+('Log Returns'!F48*$B$6)</f>
        <v>3.0394419075067602E-3</v>
      </c>
    </row>
    <row r="49" spans="3:4" x14ac:dyDescent="0.35">
      <c r="C49" s="2">
        <f>'Log Returns'!A49</f>
        <v>44634</v>
      </c>
      <c r="D49" s="53">
        <f>('Log Returns'!B49*$B$2)+('Log Returns'!C49*$B$3)+('Log Returns'!D49*$B$4)+('Log Returns'!E49*$B$5)+('Log Returns'!F49*$B$6)</f>
        <v>1.9004393910874193E-2</v>
      </c>
    </row>
    <row r="50" spans="3:4" x14ac:dyDescent="0.35">
      <c r="C50" s="2">
        <f>'Log Returns'!A50</f>
        <v>44635</v>
      </c>
      <c r="D50" s="53">
        <f>('Log Returns'!B50*$B$2)+('Log Returns'!C50*$B$3)+('Log Returns'!D50*$B$4)+('Log Returns'!E50*$B$5)+('Log Returns'!F50*$B$6)</f>
        <v>-1.3480912980842009E-2</v>
      </c>
    </row>
    <row r="51" spans="3:4" x14ac:dyDescent="0.35">
      <c r="C51" s="2">
        <f>'Log Returns'!A51</f>
        <v>44636</v>
      </c>
      <c r="D51" s="53">
        <f>('Log Returns'!B51*$B$2)+('Log Returns'!C51*$B$3)+('Log Returns'!D51*$B$4)+('Log Returns'!E51*$B$5)+('Log Returns'!F51*$B$6)</f>
        <v>1.9129711980961694E-2</v>
      </c>
    </row>
    <row r="52" spans="3:4" x14ac:dyDescent="0.35">
      <c r="C52" s="2">
        <f>'Log Returns'!A52</f>
        <v>44637</v>
      </c>
      <c r="D52" s="53">
        <f>('Log Returns'!B52*$B$2)+('Log Returns'!C52*$B$3)+('Log Returns'!D52*$B$4)+('Log Returns'!E52*$B$5)+('Log Returns'!F52*$B$6)</f>
        <v>8.8948887880418437E-3</v>
      </c>
    </row>
    <row r="53" spans="3:4" x14ac:dyDescent="0.35">
      <c r="C53" s="2">
        <f>'Log Returns'!A53</f>
        <v>44641</v>
      </c>
      <c r="D53" s="53">
        <f>('Log Returns'!B53*$B$2)+('Log Returns'!C53*$B$3)+('Log Returns'!D53*$B$4)+('Log Returns'!E53*$B$5)+('Log Returns'!F53*$B$6)</f>
        <v>-6.7870850982924098E-3</v>
      </c>
    </row>
    <row r="54" spans="3:4" x14ac:dyDescent="0.35">
      <c r="C54" s="2">
        <f>'Log Returns'!A54</f>
        <v>44642</v>
      </c>
      <c r="D54" s="53">
        <f>('Log Returns'!B54*$B$2)+('Log Returns'!C54*$B$3)+('Log Returns'!D54*$B$4)+('Log Returns'!E54*$B$5)+('Log Returns'!F54*$B$6)</f>
        <v>1.9161568908821213E-2</v>
      </c>
    </row>
    <row r="55" spans="3:4" x14ac:dyDescent="0.35">
      <c r="C55" s="2">
        <f>'Log Returns'!A55</f>
        <v>44643</v>
      </c>
      <c r="D55" s="53">
        <f>('Log Returns'!B55*$B$2)+('Log Returns'!C55*$B$3)+('Log Returns'!D55*$B$4)+('Log Returns'!E55*$B$5)+('Log Returns'!F55*$B$6)</f>
        <v>1.4796315924685026E-3</v>
      </c>
    </row>
    <row r="56" spans="3:4" x14ac:dyDescent="0.35">
      <c r="C56" s="2">
        <f>'Log Returns'!A56</f>
        <v>44644</v>
      </c>
      <c r="D56" s="53">
        <f>('Log Returns'!B56*$B$2)+('Log Returns'!C56*$B$3)+('Log Returns'!D56*$B$4)+('Log Returns'!E56*$B$5)+('Log Returns'!F56*$B$6)</f>
        <v>4.8971369798437876E-3</v>
      </c>
    </row>
    <row r="57" spans="3:4" x14ac:dyDescent="0.35">
      <c r="C57" s="2">
        <f>'Log Returns'!A57</f>
        <v>44645</v>
      </c>
      <c r="D57" s="53">
        <f>('Log Returns'!B57*$B$2)+('Log Returns'!C57*$B$3)+('Log Returns'!D57*$B$4)+('Log Returns'!E57*$B$5)+('Log Returns'!F57*$B$6)</f>
        <v>-4.6163104881898186E-3</v>
      </c>
    </row>
    <row r="58" spans="3:4" x14ac:dyDescent="0.35">
      <c r="C58" s="2">
        <f>'Log Returns'!A58</f>
        <v>44648</v>
      </c>
      <c r="D58" s="53">
        <f>('Log Returns'!B58*$B$2)+('Log Returns'!C58*$B$3)+('Log Returns'!D58*$B$4)+('Log Returns'!E58*$B$5)+('Log Returns'!F58*$B$6)</f>
        <v>7.7817601425767642E-3</v>
      </c>
    </row>
    <row r="59" spans="3:4" x14ac:dyDescent="0.35">
      <c r="C59" s="2">
        <f>'Log Returns'!A59</f>
        <v>44649</v>
      </c>
      <c r="D59" s="53">
        <f>('Log Returns'!B59*$B$2)+('Log Returns'!C59*$B$3)+('Log Returns'!D59*$B$4)+('Log Returns'!E59*$B$5)+('Log Returns'!F59*$B$6)</f>
        <v>6.7929473698361584E-4</v>
      </c>
    </row>
    <row r="60" spans="3:4" x14ac:dyDescent="0.35">
      <c r="C60" s="2">
        <f>'Log Returns'!A60</f>
        <v>44650</v>
      </c>
      <c r="D60" s="53">
        <f>('Log Returns'!B60*$B$2)+('Log Returns'!C60*$B$3)+('Log Returns'!D60*$B$4)+('Log Returns'!E60*$B$5)+('Log Returns'!F60*$B$6)</f>
        <v>7.1384886011983742E-3</v>
      </c>
    </row>
    <row r="61" spans="3:4" x14ac:dyDescent="0.35">
      <c r="C61" s="2">
        <f>'Log Returns'!A61</f>
        <v>44651</v>
      </c>
      <c r="D61" s="53">
        <f>('Log Returns'!B61*$B$2)+('Log Returns'!C61*$B$3)+('Log Returns'!D61*$B$4)+('Log Returns'!E61*$B$5)+('Log Returns'!F61*$B$6)</f>
        <v>-1.1286603310294101E-3</v>
      </c>
    </row>
    <row r="62" spans="3:4" x14ac:dyDescent="0.35">
      <c r="C62" s="2">
        <f>'Log Returns'!A62</f>
        <v>44652</v>
      </c>
      <c r="D62" s="53">
        <f>('Log Returns'!B62*$B$2)+('Log Returns'!C62*$B$3)+('Log Returns'!D62*$B$4)+('Log Returns'!E62*$B$5)+('Log Returns'!F62*$B$6)</f>
        <v>5.9783280822947923E-3</v>
      </c>
    </row>
    <row r="63" spans="3:4" x14ac:dyDescent="0.35">
      <c r="C63" s="2">
        <f>'Log Returns'!A63</f>
        <v>44655</v>
      </c>
      <c r="D63" s="53">
        <f>('Log Returns'!B63*$B$2)+('Log Returns'!C63*$B$3)+('Log Returns'!D63*$B$4)+('Log Returns'!E63*$B$5)+('Log Returns'!F63*$B$6)</f>
        <v>3.5122181902715243E-3</v>
      </c>
    </row>
    <row r="64" spans="3:4" x14ac:dyDescent="0.35">
      <c r="C64" s="2">
        <f>'Log Returns'!A64</f>
        <v>44656</v>
      </c>
      <c r="D64" s="53">
        <f>('Log Returns'!B64*$B$2)+('Log Returns'!C64*$B$3)+('Log Returns'!D64*$B$4)+('Log Returns'!E64*$B$5)+('Log Returns'!F64*$B$6)</f>
        <v>-1.019828160302042E-3</v>
      </c>
    </row>
    <row r="65" spans="3:4" x14ac:dyDescent="0.35">
      <c r="C65" s="2">
        <f>'Log Returns'!A65</f>
        <v>44657</v>
      </c>
      <c r="D65" s="53">
        <f>('Log Returns'!B65*$B$2)+('Log Returns'!C65*$B$3)+('Log Returns'!D65*$B$4)+('Log Returns'!E65*$B$5)+('Log Returns'!F65*$B$6)</f>
        <v>-7.1100075380107625E-3</v>
      </c>
    </row>
    <row r="66" spans="3:4" x14ac:dyDescent="0.35">
      <c r="C66" s="2">
        <f>'Log Returns'!A66</f>
        <v>44658</v>
      </c>
      <c r="D66" s="53">
        <f>('Log Returns'!B66*$B$2)+('Log Returns'!C66*$B$3)+('Log Returns'!D66*$B$4)+('Log Returns'!E66*$B$5)+('Log Returns'!F66*$B$6)</f>
        <v>-9.7693403855832542E-3</v>
      </c>
    </row>
    <row r="67" spans="3:4" x14ac:dyDescent="0.35">
      <c r="C67" s="2">
        <f>'Log Returns'!A67</f>
        <v>44659</v>
      </c>
      <c r="D67" s="53">
        <f>('Log Returns'!B67*$B$2)+('Log Returns'!C67*$B$3)+('Log Returns'!D67*$B$4)+('Log Returns'!E67*$B$5)+('Log Returns'!F67*$B$6)</f>
        <v>1.2585883560827675E-2</v>
      </c>
    </row>
    <row r="68" spans="3:4" x14ac:dyDescent="0.35">
      <c r="C68" s="2">
        <f>'Log Returns'!A68</f>
        <v>44662</v>
      </c>
      <c r="D68" s="53">
        <f>('Log Returns'!B68*$B$2)+('Log Returns'!C68*$B$3)+('Log Returns'!D68*$B$4)+('Log Returns'!E68*$B$5)+('Log Returns'!F68*$B$6)</f>
        <v>-2.7965658194100493E-3</v>
      </c>
    </row>
    <row r="69" spans="3:4" x14ac:dyDescent="0.35">
      <c r="C69" s="2">
        <f>'Log Returns'!A69</f>
        <v>44663</v>
      </c>
      <c r="D69" s="53">
        <f>('Log Returns'!B69*$B$2)+('Log Returns'!C69*$B$3)+('Log Returns'!D69*$B$4)+('Log Returns'!E69*$B$5)+('Log Returns'!F69*$B$6)</f>
        <v>-8.9763998213447053E-3</v>
      </c>
    </row>
    <row r="70" spans="3:4" x14ac:dyDescent="0.35">
      <c r="C70" s="2">
        <f>'Log Returns'!A70</f>
        <v>44664</v>
      </c>
      <c r="D70" s="53">
        <f>('Log Returns'!B70*$B$2)+('Log Returns'!C70*$B$3)+('Log Returns'!D70*$B$4)+('Log Returns'!E70*$B$5)+('Log Returns'!F70*$B$6)</f>
        <v>2.7410140723081663E-3</v>
      </c>
    </row>
    <row r="71" spans="3:4" x14ac:dyDescent="0.35">
      <c r="C71" s="2">
        <f>'Log Returns'!A71</f>
        <v>44669</v>
      </c>
      <c r="D71" s="53">
        <f>('Log Returns'!B71*$B$2)+('Log Returns'!C71*$B$3)+('Log Returns'!D71*$B$4)+('Log Returns'!E71*$B$5)+('Log Returns'!F71*$B$6)</f>
        <v>-2.515053120280298E-2</v>
      </c>
    </row>
    <row r="72" spans="3:4" x14ac:dyDescent="0.35">
      <c r="C72" s="2">
        <f>'Log Returns'!A72</f>
        <v>44670</v>
      </c>
      <c r="D72" s="53">
        <f>('Log Returns'!B72*$B$2)+('Log Returns'!C72*$B$3)+('Log Returns'!D72*$B$4)+('Log Returns'!E72*$B$5)+('Log Returns'!F72*$B$6)</f>
        <v>-6.1693501816840485E-3</v>
      </c>
    </row>
    <row r="73" spans="3:4" x14ac:dyDescent="0.35">
      <c r="C73" s="2">
        <f>'Log Returns'!A73</f>
        <v>44671</v>
      </c>
      <c r="D73" s="53">
        <f>('Log Returns'!B73*$B$2)+('Log Returns'!C73*$B$3)+('Log Returns'!D73*$B$4)+('Log Returns'!E73*$B$5)+('Log Returns'!F73*$B$6)</f>
        <v>9.5296948900604559E-3</v>
      </c>
    </row>
    <row r="74" spans="3:4" x14ac:dyDescent="0.35">
      <c r="C74" s="2">
        <f>'Log Returns'!A74</f>
        <v>44672</v>
      </c>
      <c r="D74" s="53">
        <f>('Log Returns'!B74*$B$2)+('Log Returns'!C74*$B$3)+('Log Returns'!D74*$B$4)+('Log Returns'!E74*$B$5)+('Log Returns'!F74*$B$6)</f>
        <v>1.4955516813870761E-2</v>
      </c>
    </row>
    <row r="75" spans="3:4" x14ac:dyDescent="0.35">
      <c r="C75" s="2">
        <f>'Log Returns'!A75</f>
        <v>44673</v>
      </c>
      <c r="D75" s="53">
        <f>('Log Returns'!B75*$B$2)+('Log Returns'!C75*$B$3)+('Log Returns'!D75*$B$4)+('Log Returns'!E75*$B$5)+('Log Returns'!F75*$B$6)</f>
        <v>-1.0092570845206044E-2</v>
      </c>
    </row>
    <row r="76" spans="3:4" x14ac:dyDescent="0.35">
      <c r="C76" s="2">
        <f>'Log Returns'!A76</f>
        <v>44676</v>
      </c>
      <c r="D76" s="53">
        <f>('Log Returns'!B76*$B$2)+('Log Returns'!C76*$B$3)+('Log Returns'!D76*$B$4)+('Log Returns'!E76*$B$5)+('Log Returns'!F76*$B$6)</f>
        <v>-1.4688160704234397E-2</v>
      </c>
    </row>
    <row r="77" spans="3:4" x14ac:dyDescent="0.35">
      <c r="C77" s="2">
        <f>'Log Returns'!A77</f>
        <v>44677</v>
      </c>
      <c r="D77" s="53">
        <f>('Log Returns'!B77*$B$2)+('Log Returns'!C77*$B$3)+('Log Returns'!D77*$B$4)+('Log Returns'!E77*$B$5)+('Log Returns'!F77*$B$6)</f>
        <v>1.1613696707311848E-2</v>
      </c>
    </row>
    <row r="78" spans="3:4" x14ac:dyDescent="0.35">
      <c r="C78" s="2">
        <f>'Log Returns'!A78</f>
        <v>44678</v>
      </c>
      <c r="D78" s="53">
        <f>('Log Returns'!B78*$B$2)+('Log Returns'!C78*$B$3)+('Log Returns'!D78*$B$4)+('Log Returns'!E78*$B$5)+('Log Returns'!F78*$B$6)</f>
        <v>-8.2649118369464807E-3</v>
      </c>
    </row>
    <row r="79" spans="3:4" x14ac:dyDescent="0.35">
      <c r="C79" s="2">
        <f>'Log Returns'!A79</f>
        <v>44679</v>
      </c>
      <c r="D79" s="53">
        <f>('Log Returns'!B79*$B$2)+('Log Returns'!C79*$B$3)+('Log Returns'!D79*$B$4)+('Log Returns'!E79*$B$5)+('Log Returns'!F79*$B$6)</f>
        <v>1.3652802284129118E-2</v>
      </c>
    </row>
    <row r="80" spans="3:4" x14ac:dyDescent="0.35">
      <c r="C80" s="2">
        <f>'Log Returns'!A80</f>
        <v>44680</v>
      </c>
      <c r="D80" s="53">
        <f>('Log Returns'!B80*$B$2)+('Log Returns'!C80*$B$3)+('Log Returns'!D80*$B$4)+('Log Returns'!E80*$B$5)+('Log Returns'!F80*$B$6)</f>
        <v>-8.3537324275223864E-3</v>
      </c>
    </row>
    <row r="81" spans="3:4" x14ac:dyDescent="0.35">
      <c r="C81" s="2">
        <f>'Log Returns'!A81</f>
        <v>44683</v>
      </c>
      <c r="D81" s="53">
        <f>('Log Returns'!B81*$B$2)+('Log Returns'!C81*$B$3)+('Log Returns'!D81*$B$4)+('Log Returns'!E81*$B$5)+('Log Returns'!F81*$B$6)</f>
        <v>-2.2278612884573568E-3</v>
      </c>
    </row>
    <row r="82" spans="3:4" x14ac:dyDescent="0.35">
      <c r="C82" s="2">
        <f>'Log Returns'!A82</f>
        <v>44685</v>
      </c>
      <c r="D82" s="53">
        <f>('Log Returns'!B82*$B$2)+('Log Returns'!C82*$B$3)+('Log Returns'!D82*$B$4)+('Log Returns'!E82*$B$5)+('Log Returns'!F82*$B$6)</f>
        <v>-1.7794044267419304E-2</v>
      </c>
    </row>
    <row r="83" spans="3:4" x14ac:dyDescent="0.35">
      <c r="C83" s="2">
        <f>'Log Returns'!A83</f>
        <v>44686</v>
      </c>
      <c r="D83" s="53">
        <f>('Log Returns'!B83*$B$2)+('Log Returns'!C83*$B$3)+('Log Returns'!D83*$B$4)+('Log Returns'!E83*$B$5)+('Log Returns'!F83*$B$6)</f>
        <v>7.3421816602942426E-3</v>
      </c>
    </row>
    <row r="84" spans="3:4" x14ac:dyDescent="0.35">
      <c r="C84" s="2">
        <f>'Log Returns'!A84</f>
        <v>44687</v>
      </c>
      <c r="D84" s="53">
        <f>('Log Returns'!B84*$B$2)+('Log Returns'!C84*$B$3)+('Log Returns'!D84*$B$4)+('Log Returns'!E84*$B$5)+('Log Returns'!F84*$B$6)</f>
        <v>-1.0759663492589647E-2</v>
      </c>
    </row>
    <row r="85" spans="3:4" x14ac:dyDescent="0.35">
      <c r="C85" s="2">
        <f>'Log Returns'!A85</f>
        <v>44690</v>
      </c>
      <c r="D85" s="53">
        <f>('Log Returns'!B85*$B$2)+('Log Returns'!C85*$B$3)+('Log Returns'!D85*$B$4)+('Log Returns'!E85*$B$5)+('Log Returns'!F85*$B$6)</f>
        <v>-1.0220475659095837E-2</v>
      </c>
    </row>
    <row r="86" spans="3:4" x14ac:dyDescent="0.35">
      <c r="C86" s="2">
        <f>'Log Returns'!A86</f>
        <v>44691</v>
      </c>
      <c r="D86" s="53">
        <f>('Log Returns'!B86*$B$2)+('Log Returns'!C86*$B$3)+('Log Returns'!D86*$B$4)+('Log Returns'!E86*$B$5)+('Log Returns'!F86*$B$6)</f>
        <v>-7.040508549541415E-3</v>
      </c>
    </row>
    <row r="87" spans="3:4" x14ac:dyDescent="0.35">
      <c r="C87" s="2">
        <f>'Log Returns'!A87</f>
        <v>44692</v>
      </c>
      <c r="D87" s="53">
        <f>('Log Returns'!B87*$B$2)+('Log Returns'!C87*$B$3)+('Log Returns'!D87*$B$4)+('Log Returns'!E87*$B$5)+('Log Returns'!F87*$B$6)</f>
        <v>-1.0623652906698937E-2</v>
      </c>
    </row>
    <row r="88" spans="3:4" x14ac:dyDescent="0.35">
      <c r="C88" s="2">
        <f>'Log Returns'!A88</f>
        <v>44693</v>
      </c>
      <c r="D88" s="53">
        <f>('Log Returns'!B88*$B$2)+('Log Returns'!C88*$B$3)+('Log Returns'!D88*$B$4)+('Log Returns'!E88*$B$5)+('Log Returns'!F88*$B$6)</f>
        <v>-1.4066889924457957E-2</v>
      </c>
    </row>
    <row r="89" spans="3:4" x14ac:dyDescent="0.35">
      <c r="C89" s="2">
        <f>'Log Returns'!A89</f>
        <v>44694</v>
      </c>
      <c r="D89" s="53">
        <f>('Log Returns'!B89*$B$2)+('Log Returns'!C89*$B$3)+('Log Returns'!D89*$B$4)+('Log Returns'!E89*$B$5)+('Log Returns'!F89*$B$6)</f>
        <v>2.3497109136569275E-3</v>
      </c>
    </row>
    <row r="90" spans="3:4" x14ac:dyDescent="0.35">
      <c r="C90" s="2">
        <f>'Log Returns'!A90</f>
        <v>44697</v>
      </c>
      <c r="D90" s="53">
        <f>('Log Returns'!B90*$B$2)+('Log Returns'!C90*$B$3)+('Log Returns'!D90*$B$4)+('Log Returns'!E90*$B$5)+('Log Returns'!F90*$B$6)</f>
        <v>-6.0889371939862394E-3</v>
      </c>
    </row>
    <row r="91" spans="3:4" x14ac:dyDescent="0.35">
      <c r="C91" s="2">
        <f>'Log Returns'!A91</f>
        <v>44698</v>
      </c>
      <c r="D91" s="53">
        <f>('Log Returns'!B91*$B$2)+('Log Returns'!C91*$B$3)+('Log Returns'!D91*$B$4)+('Log Returns'!E91*$B$5)+('Log Returns'!F91*$B$6)</f>
        <v>3.1318643484871574E-2</v>
      </c>
    </row>
    <row r="92" spans="3:4" x14ac:dyDescent="0.35">
      <c r="C92" s="2">
        <f>'Log Returns'!A92</f>
        <v>44699</v>
      </c>
      <c r="D92" s="53">
        <f>('Log Returns'!B92*$B$2)+('Log Returns'!C92*$B$3)+('Log Returns'!D92*$B$4)+('Log Returns'!E92*$B$5)+('Log Returns'!F92*$B$6)</f>
        <v>1.7306382297663432E-4</v>
      </c>
    </row>
    <row r="93" spans="3:4" x14ac:dyDescent="0.35">
      <c r="C93" s="2">
        <f>'Log Returns'!A93</f>
        <v>44700</v>
      </c>
      <c r="D93" s="53">
        <f>('Log Returns'!B93*$B$2)+('Log Returns'!C93*$B$3)+('Log Returns'!D93*$B$4)+('Log Returns'!E93*$B$5)+('Log Returns'!F93*$B$6)</f>
        <v>-2.6565959175635923E-2</v>
      </c>
    </row>
    <row r="94" spans="3:4" x14ac:dyDescent="0.35">
      <c r="C94" s="2">
        <f>'Log Returns'!A94</f>
        <v>44701</v>
      </c>
      <c r="D94" s="53">
        <f>('Log Returns'!B94*$B$2)+('Log Returns'!C94*$B$3)+('Log Returns'!D94*$B$4)+('Log Returns'!E94*$B$5)+('Log Returns'!F94*$B$6)</f>
        <v>2.5752441503801987E-2</v>
      </c>
    </row>
    <row r="95" spans="3:4" x14ac:dyDescent="0.35">
      <c r="C95" s="2">
        <f>'Log Returns'!A95</f>
        <v>44704</v>
      </c>
      <c r="D95" s="53">
        <f>('Log Returns'!B95*$B$2)+('Log Returns'!C95*$B$3)+('Log Returns'!D95*$B$4)+('Log Returns'!E95*$B$5)+('Log Returns'!F95*$B$6)</f>
        <v>-1.3384342112277821E-3</v>
      </c>
    </row>
    <row r="96" spans="3:4" x14ac:dyDescent="0.35">
      <c r="C96" s="2">
        <f>'Log Returns'!A96</f>
        <v>44705</v>
      </c>
      <c r="D96" s="53">
        <f>('Log Returns'!B96*$B$2)+('Log Returns'!C96*$B$3)+('Log Returns'!D96*$B$4)+('Log Returns'!E96*$B$5)+('Log Returns'!F96*$B$6)</f>
        <v>-8.6200760802657359E-3</v>
      </c>
    </row>
    <row r="97" spans="3:4" x14ac:dyDescent="0.35">
      <c r="C97" s="2">
        <f>'Log Returns'!A97</f>
        <v>44706</v>
      </c>
      <c r="D97" s="53">
        <f>('Log Returns'!B97*$B$2)+('Log Returns'!C97*$B$3)+('Log Returns'!D97*$B$4)+('Log Returns'!E97*$B$5)+('Log Returns'!F97*$B$6)</f>
        <v>-9.2130698110908515E-3</v>
      </c>
    </row>
    <row r="98" spans="3:4" x14ac:dyDescent="0.35">
      <c r="C98" s="2">
        <f>'Log Returns'!A98</f>
        <v>44707</v>
      </c>
      <c r="D98" s="53">
        <f>('Log Returns'!B98*$B$2)+('Log Returns'!C98*$B$3)+('Log Returns'!D98*$B$4)+('Log Returns'!E98*$B$5)+('Log Returns'!F98*$B$6)</f>
        <v>3.4547671767117781E-3</v>
      </c>
    </row>
    <row r="99" spans="3:4" x14ac:dyDescent="0.35">
      <c r="C99" s="2">
        <f>'Log Returns'!A99</f>
        <v>44708</v>
      </c>
      <c r="D99" s="53">
        <f>('Log Returns'!B99*$B$2)+('Log Returns'!C99*$B$3)+('Log Returns'!D99*$B$4)+('Log Returns'!E99*$B$5)+('Log Returns'!F99*$B$6)</f>
        <v>1.1313461179714976E-2</v>
      </c>
    </row>
    <row r="100" spans="3:4" x14ac:dyDescent="0.35">
      <c r="C100" s="2">
        <f>'Log Returns'!A100</f>
        <v>44711</v>
      </c>
      <c r="D100" s="53">
        <f>('Log Returns'!B100*$B$2)+('Log Returns'!C100*$B$3)+('Log Returns'!D100*$B$4)+('Log Returns'!E100*$B$5)+('Log Returns'!F100*$B$6)</f>
        <v>2.4705628385112508E-2</v>
      </c>
    </row>
    <row r="101" spans="3:4" x14ac:dyDescent="0.35">
      <c r="C101" s="2">
        <f>'Log Returns'!A101</f>
        <v>44712</v>
      </c>
      <c r="D101" s="53">
        <f>('Log Returns'!B101*$B$2)+('Log Returns'!C101*$B$3)+('Log Returns'!D101*$B$4)+('Log Returns'!E101*$B$5)+('Log Returns'!F101*$B$6)</f>
        <v>-3.7916004612666204E-3</v>
      </c>
    </row>
    <row r="102" spans="3:4" x14ac:dyDescent="0.35">
      <c r="C102" s="2">
        <f>'Log Returns'!A102</f>
        <v>44713</v>
      </c>
      <c r="D102" s="53">
        <f>('Log Returns'!B102*$B$2)+('Log Returns'!C102*$B$3)+('Log Returns'!D102*$B$4)+('Log Returns'!E102*$B$5)+('Log Returns'!F102*$B$6)</f>
        <v>-3.0115235720826741E-3</v>
      </c>
    </row>
    <row r="103" spans="3:4" x14ac:dyDescent="0.35">
      <c r="C103" s="2">
        <f>'Log Returns'!A103</f>
        <v>44714</v>
      </c>
      <c r="D103" s="53">
        <f>('Log Returns'!B103*$B$2)+('Log Returns'!C103*$B$3)+('Log Returns'!D103*$B$4)+('Log Returns'!E103*$B$5)+('Log Returns'!F103*$B$6)</f>
        <v>1.5172038914528754E-2</v>
      </c>
    </row>
    <row r="104" spans="3:4" x14ac:dyDescent="0.35">
      <c r="C104" s="2">
        <f>'Log Returns'!A104</f>
        <v>44715</v>
      </c>
      <c r="D104" s="53">
        <f>('Log Returns'!B104*$B$2)+('Log Returns'!C104*$B$3)+('Log Returns'!D104*$B$4)+('Log Returns'!E104*$B$5)+('Log Returns'!F104*$B$6)</f>
        <v>4.7716881506243503E-3</v>
      </c>
    </row>
    <row r="105" spans="3:4" x14ac:dyDescent="0.35">
      <c r="C105" s="2">
        <f>'Log Returns'!A105</f>
        <v>44718</v>
      </c>
      <c r="D105" s="53">
        <f>('Log Returns'!B105*$B$2)+('Log Returns'!C105*$B$3)+('Log Returns'!D105*$B$4)+('Log Returns'!E105*$B$5)+('Log Returns'!F105*$B$6)</f>
        <v>1.8907778071975264E-3</v>
      </c>
    </row>
    <row r="106" spans="3:4" x14ac:dyDescent="0.35">
      <c r="C106" s="2">
        <f>'Log Returns'!A106</f>
        <v>44719</v>
      </c>
      <c r="D106" s="53">
        <f>('Log Returns'!B106*$B$2)+('Log Returns'!C106*$B$3)+('Log Returns'!D106*$B$4)+('Log Returns'!E106*$B$5)+('Log Returns'!F106*$B$6)</f>
        <v>-1.0483167934117623E-2</v>
      </c>
    </row>
    <row r="107" spans="3:4" x14ac:dyDescent="0.35">
      <c r="C107" s="2">
        <f>'Log Returns'!A107</f>
        <v>44720</v>
      </c>
      <c r="D107" s="53">
        <f>('Log Returns'!B107*$B$2)+('Log Returns'!C107*$B$3)+('Log Returns'!D107*$B$4)+('Log Returns'!E107*$B$5)+('Log Returns'!F107*$B$6)</f>
        <v>-7.9827944713595379E-3</v>
      </c>
    </row>
    <row r="108" spans="3:4" x14ac:dyDescent="0.35">
      <c r="C108" s="2">
        <f>'Log Returns'!A108</f>
        <v>44721</v>
      </c>
      <c r="D108" s="53">
        <f>('Log Returns'!B108*$B$2)+('Log Returns'!C108*$B$3)+('Log Returns'!D108*$B$4)+('Log Returns'!E108*$B$5)+('Log Returns'!F108*$B$6)</f>
        <v>1.1823162677975937E-2</v>
      </c>
    </row>
    <row r="109" spans="3:4" x14ac:dyDescent="0.35">
      <c r="C109" s="2">
        <f>'Log Returns'!A109</f>
        <v>44722</v>
      </c>
      <c r="D109" s="53">
        <f>('Log Returns'!B109*$B$2)+('Log Returns'!C109*$B$3)+('Log Returns'!D109*$B$4)+('Log Returns'!E109*$B$5)+('Log Returns'!F109*$B$6)</f>
        <v>-1.9224648029725549E-2</v>
      </c>
    </row>
    <row r="110" spans="3:4" x14ac:dyDescent="0.35">
      <c r="C110" s="2">
        <f>'Log Returns'!A110</f>
        <v>44725</v>
      </c>
      <c r="D110" s="53">
        <f>('Log Returns'!B110*$B$2)+('Log Returns'!C110*$B$3)+('Log Returns'!D110*$B$4)+('Log Returns'!E110*$B$5)+('Log Returns'!F110*$B$6)</f>
        <v>-3.2770338621898779E-2</v>
      </c>
    </row>
    <row r="111" spans="3:4" x14ac:dyDescent="0.35">
      <c r="C111" s="2">
        <f>'Log Returns'!A111</f>
        <v>44726</v>
      </c>
      <c r="D111" s="53">
        <f>('Log Returns'!B111*$B$2)+('Log Returns'!C111*$B$3)+('Log Returns'!D111*$B$4)+('Log Returns'!E111*$B$5)+('Log Returns'!F111*$B$6)</f>
        <v>-1.0743224136921981E-3</v>
      </c>
    </row>
    <row r="112" spans="3:4" x14ac:dyDescent="0.35">
      <c r="C112" s="2">
        <f>'Log Returns'!A112</f>
        <v>44727</v>
      </c>
      <c r="D112" s="53">
        <f>('Log Returns'!B112*$B$2)+('Log Returns'!C112*$B$3)+('Log Returns'!D112*$B$4)+('Log Returns'!E112*$B$5)+('Log Returns'!F112*$B$6)</f>
        <v>-6.3057833378127323E-3</v>
      </c>
    </row>
    <row r="113" spans="3:4" x14ac:dyDescent="0.35">
      <c r="C113" s="2">
        <f>'Log Returns'!A113</f>
        <v>44728</v>
      </c>
      <c r="D113" s="53">
        <f>('Log Returns'!B113*$B$2)+('Log Returns'!C113*$B$3)+('Log Returns'!D113*$B$4)+('Log Returns'!E113*$B$5)+('Log Returns'!F113*$B$6)</f>
        <v>-1.504343976328293E-2</v>
      </c>
    </row>
    <row r="114" spans="3:4" x14ac:dyDescent="0.35">
      <c r="C114" s="2">
        <f>'Log Returns'!A114</f>
        <v>44729</v>
      </c>
      <c r="D114" s="53">
        <f>('Log Returns'!B114*$B$2)+('Log Returns'!C114*$B$3)+('Log Returns'!D114*$B$4)+('Log Returns'!E114*$B$5)+('Log Returns'!F114*$B$6)</f>
        <v>1.9356649078755429E-3</v>
      </c>
    </row>
    <row r="115" spans="3:4" x14ac:dyDescent="0.35">
      <c r="C115" s="2">
        <f>'Log Returns'!A115</f>
        <v>44732</v>
      </c>
      <c r="D115" s="53">
        <f>('Log Returns'!B115*$B$2)+('Log Returns'!C115*$B$3)+('Log Returns'!D115*$B$4)+('Log Returns'!E115*$B$5)+('Log Returns'!F115*$B$6)</f>
        <v>2.0305247590924921E-3</v>
      </c>
    </row>
    <row r="116" spans="3:4" x14ac:dyDescent="0.35">
      <c r="C116" s="2">
        <f>'Log Returns'!A116</f>
        <v>44733</v>
      </c>
      <c r="D116" s="53">
        <f>('Log Returns'!B116*$B$2)+('Log Returns'!C116*$B$3)+('Log Returns'!D116*$B$4)+('Log Returns'!E116*$B$5)+('Log Returns'!F116*$B$6)</f>
        <v>1.6844727396604076E-2</v>
      </c>
    </row>
    <row r="117" spans="3:4" x14ac:dyDescent="0.35">
      <c r="C117" s="2">
        <f>'Log Returns'!A117</f>
        <v>44734</v>
      </c>
      <c r="D117" s="53">
        <f>('Log Returns'!B117*$B$2)+('Log Returns'!C117*$B$3)+('Log Returns'!D117*$B$4)+('Log Returns'!E117*$B$5)+('Log Returns'!F117*$B$6)</f>
        <v>-1.3423184801480619E-2</v>
      </c>
    </row>
    <row r="118" spans="3:4" x14ac:dyDescent="0.35">
      <c r="C118" s="2">
        <f>'Log Returns'!A118</f>
        <v>44735</v>
      </c>
      <c r="D118" s="53">
        <f>('Log Returns'!B118*$B$2)+('Log Returns'!C118*$B$3)+('Log Returns'!D118*$B$4)+('Log Returns'!E118*$B$5)+('Log Returns'!F118*$B$6)</f>
        <v>7.855263133190217E-3</v>
      </c>
    </row>
    <row r="119" spans="3:4" x14ac:dyDescent="0.35">
      <c r="C119" s="2">
        <f>'Log Returns'!A119</f>
        <v>44736</v>
      </c>
      <c r="D119" s="53">
        <f>('Log Returns'!B119*$B$2)+('Log Returns'!C119*$B$3)+('Log Returns'!D119*$B$4)+('Log Returns'!E119*$B$5)+('Log Returns'!F119*$B$6)</f>
        <v>4.6226843498282178E-3</v>
      </c>
    </row>
    <row r="120" spans="3:4" x14ac:dyDescent="0.35">
      <c r="C120" s="2">
        <f>'Log Returns'!A120</f>
        <v>44739</v>
      </c>
      <c r="D120" s="53">
        <f>('Log Returns'!B120*$B$2)+('Log Returns'!C120*$B$3)+('Log Returns'!D120*$B$4)+('Log Returns'!E120*$B$5)+('Log Returns'!F120*$B$6)</f>
        <v>9.4670398465329965E-3</v>
      </c>
    </row>
    <row r="121" spans="3:4" x14ac:dyDescent="0.35">
      <c r="C121" s="2">
        <f>'Log Returns'!A121</f>
        <v>44740</v>
      </c>
      <c r="D121" s="53">
        <f>('Log Returns'!B121*$B$2)+('Log Returns'!C121*$B$3)+('Log Returns'!D121*$B$4)+('Log Returns'!E121*$B$5)+('Log Returns'!F121*$B$6)</f>
        <v>3.1716847739428865E-3</v>
      </c>
    </row>
    <row r="122" spans="3:4" x14ac:dyDescent="0.35">
      <c r="C122" s="2">
        <f>'Log Returns'!A122</f>
        <v>44741</v>
      </c>
      <c r="D122" s="53">
        <f>('Log Returns'!B122*$B$2)+('Log Returns'!C122*$B$3)+('Log Returns'!D122*$B$4)+('Log Returns'!E122*$B$5)+('Log Returns'!F122*$B$6)</f>
        <v>-3.840248821892153E-4</v>
      </c>
    </row>
    <row r="123" spans="3:4" x14ac:dyDescent="0.35">
      <c r="C123" s="2">
        <f>'Log Returns'!A123</f>
        <v>44742</v>
      </c>
      <c r="D123" s="53">
        <f>('Log Returns'!B123*$B$2)+('Log Returns'!C123*$B$3)+('Log Returns'!D123*$B$4)+('Log Returns'!E123*$B$5)+('Log Returns'!F123*$B$6)</f>
        <v>4.5077733142486869E-4</v>
      </c>
    </row>
    <row r="124" spans="3:4" x14ac:dyDescent="0.35">
      <c r="C124" s="2">
        <f>'Log Returns'!A124</f>
        <v>44743</v>
      </c>
      <c r="D124" s="53">
        <f>('Log Returns'!B124*$B$2)+('Log Returns'!C124*$B$3)+('Log Returns'!D124*$B$4)+('Log Returns'!E124*$B$5)+('Log Returns'!F124*$B$6)</f>
        <v>-2.8101758291153925E-3</v>
      </c>
    </row>
    <row r="125" spans="3:4" x14ac:dyDescent="0.35">
      <c r="C125" s="2">
        <f>'Log Returns'!A125</f>
        <v>44746</v>
      </c>
      <c r="D125" s="53">
        <f>('Log Returns'!B125*$B$2)+('Log Returns'!C125*$B$3)+('Log Returns'!D125*$B$4)+('Log Returns'!E125*$B$5)+('Log Returns'!F125*$B$6)</f>
        <v>6.4742880605659515E-3</v>
      </c>
    </row>
    <row r="126" spans="3:4" x14ac:dyDescent="0.35">
      <c r="C126" s="2">
        <f>'Log Returns'!A126</f>
        <v>44747</v>
      </c>
      <c r="D126" s="53">
        <f>('Log Returns'!B126*$B$2)+('Log Returns'!C126*$B$3)+('Log Returns'!D126*$B$4)+('Log Returns'!E126*$B$5)+('Log Returns'!F126*$B$6)</f>
        <v>-4.8122169449855562E-3</v>
      </c>
    </row>
    <row r="127" spans="3:4" x14ac:dyDescent="0.35">
      <c r="C127" s="2">
        <f>'Log Returns'!A127</f>
        <v>44748</v>
      </c>
      <c r="D127" s="53">
        <f>('Log Returns'!B127*$B$2)+('Log Returns'!C127*$B$3)+('Log Returns'!D127*$B$4)+('Log Returns'!E127*$B$5)+('Log Returns'!F127*$B$6)</f>
        <v>6.5628384267312047E-3</v>
      </c>
    </row>
    <row r="128" spans="3:4" x14ac:dyDescent="0.35">
      <c r="C128" s="2">
        <f>'Log Returns'!A128</f>
        <v>44749</v>
      </c>
      <c r="D128" s="53">
        <f>('Log Returns'!B128*$B$2)+('Log Returns'!C128*$B$3)+('Log Returns'!D128*$B$4)+('Log Returns'!E128*$B$5)+('Log Returns'!F128*$B$6)</f>
        <v>6.8139572853934509E-3</v>
      </c>
    </row>
    <row r="129" spans="3:4" x14ac:dyDescent="0.35">
      <c r="C129" s="2">
        <f>'Log Returns'!A129</f>
        <v>44750</v>
      </c>
      <c r="D129" s="53">
        <f>('Log Returns'!B129*$B$2)+('Log Returns'!C129*$B$3)+('Log Returns'!D129*$B$4)+('Log Returns'!E129*$B$5)+('Log Returns'!F129*$B$6)</f>
        <v>5.4159900005308521E-3</v>
      </c>
    </row>
    <row r="130" spans="3:4" x14ac:dyDescent="0.35">
      <c r="C130" s="2">
        <f>'Log Returns'!A130</f>
        <v>44753</v>
      </c>
      <c r="D130" s="53">
        <f>('Log Returns'!B130*$B$2)+('Log Returns'!C130*$B$3)+('Log Returns'!D130*$B$4)+('Log Returns'!E130*$B$5)+('Log Returns'!F130*$B$6)</f>
        <v>-7.4017688426814537E-3</v>
      </c>
    </row>
    <row r="131" spans="3:4" x14ac:dyDescent="0.35">
      <c r="C131" s="2">
        <f>'Log Returns'!A131</f>
        <v>44754</v>
      </c>
      <c r="D131" s="53">
        <f>('Log Returns'!B131*$B$2)+('Log Returns'!C131*$B$3)+('Log Returns'!D131*$B$4)+('Log Returns'!E131*$B$5)+('Log Returns'!F131*$B$6)</f>
        <v>-1.098126590843415E-2</v>
      </c>
    </row>
    <row r="132" spans="3:4" x14ac:dyDescent="0.35">
      <c r="C132" s="2">
        <f>'Log Returns'!A132</f>
        <v>44755</v>
      </c>
      <c r="D132" s="53">
        <f>('Log Returns'!B132*$B$2)+('Log Returns'!C132*$B$3)+('Log Returns'!D132*$B$4)+('Log Returns'!E132*$B$5)+('Log Returns'!F132*$B$6)</f>
        <v>-6.6190119987416971E-3</v>
      </c>
    </row>
    <row r="133" spans="3:4" x14ac:dyDescent="0.35">
      <c r="C133" s="2">
        <f>'Log Returns'!A133</f>
        <v>44756</v>
      </c>
      <c r="D133" s="53">
        <f>('Log Returns'!B133*$B$2)+('Log Returns'!C133*$B$3)+('Log Returns'!D133*$B$4)+('Log Returns'!E133*$B$5)+('Log Returns'!F133*$B$6)</f>
        <v>-5.5793263113214659E-3</v>
      </c>
    </row>
    <row r="134" spans="3:4" x14ac:dyDescent="0.35">
      <c r="C134" s="2">
        <f>'Log Returns'!A134</f>
        <v>44757</v>
      </c>
      <c r="D134" s="53">
        <f>('Log Returns'!B134*$B$2)+('Log Returns'!C134*$B$3)+('Log Returns'!D134*$B$4)+('Log Returns'!E134*$B$5)+('Log Returns'!F134*$B$6)</f>
        <v>1.8464606652114741E-3</v>
      </c>
    </row>
    <row r="135" spans="3:4" x14ac:dyDescent="0.35">
      <c r="C135" s="2">
        <f>'Log Returns'!A135</f>
        <v>44760</v>
      </c>
      <c r="D135" s="53">
        <f>('Log Returns'!B135*$B$2)+('Log Returns'!C135*$B$3)+('Log Returns'!D135*$B$4)+('Log Returns'!E135*$B$5)+('Log Returns'!F135*$B$6)</f>
        <v>2.1054868696676138E-2</v>
      </c>
    </row>
    <row r="136" spans="3:4" x14ac:dyDescent="0.35">
      <c r="C136" s="2">
        <f>'Log Returns'!A136</f>
        <v>44761</v>
      </c>
      <c r="D136" s="53">
        <f>('Log Returns'!B136*$B$2)+('Log Returns'!C136*$B$3)+('Log Returns'!D136*$B$4)+('Log Returns'!E136*$B$5)+('Log Returns'!F136*$B$6)</f>
        <v>2.9070095203177948E-3</v>
      </c>
    </row>
    <row r="137" spans="3:4" x14ac:dyDescent="0.35">
      <c r="C137" s="2">
        <f>'Log Returns'!A137</f>
        <v>44762</v>
      </c>
      <c r="D137" s="53">
        <f>('Log Returns'!B137*$B$2)+('Log Returns'!C137*$B$3)+('Log Returns'!D137*$B$4)+('Log Returns'!E137*$B$5)+('Log Returns'!F137*$B$6)</f>
        <v>1.8348233427048232E-2</v>
      </c>
    </row>
    <row r="138" spans="3:4" x14ac:dyDescent="0.35">
      <c r="C138" s="2">
        <f>'Log Returns'!A138</f>
        <v>44763</v>
      </c>
      <c r="D138" s="53">
        <f>('Log Returns'!B138*$B$2)+('Log Returns'!C138*$B$3)+('Log Returns'!D138*$B$4)+('Log Returns'!E138*$B$5)+('Log Returns'!F138*$B$6)</f>
        <v>3.4051494331018045E-3</v>
      </c>
    </row>
    <row r="139" spans="3:4" x14ac:dyDescent="0.35">
      <c r="C139" s="2">
        <f>'Log Returns'!A139</f>
        <v>44764</v>
      </c>
      <c r="D139" s="53">
        <f>('Log Returns'!B139*$B$2)+('Log Returns'!C139*$B$3)+('Log Returns'!D139*$B$4)+('Log Returns'!E139*$B$5)+('Log Returns'!F139*$B$6)</f>
        <v>1.6575791538937803E-3</v>
      </c>
    </row>
    <row r="140" spans="3:4" x14ac:dyDescent="0.35">
      <c r="C140" s="2">
        <f>'Log Returns'!A140</f>
        <v>44767</v>
      </c>
      <c r="D140" s="53">
        <f>('Log Returns'!B140*$B$2)+('Log Returns'!C140*$B$3)+('Log Returns'!D140*$B$4)+('Log Returns'!E140*$B$5)+('Log Returns'!F140*$B$6)</f>
        <v>-6.7671236631681357E-3</v>
      </c>
    </row>
    <row r="141" spans="3:4" x14ac:dyDescent="0.35">
      <c r="C141" s="2">
        <f>'Log Returns'!A141</f>
        <v>44768</v>
      </c>
      <c r="D141" s="53">
        <f>('Log Returns'!B141*$B$2)+('Log Returns'!C141*$B$3)+('Log Returns'!D141*$B$4)+('Log Returns'!E141*$B$5)+('Log Returns'!F141*$B$6)</f>
        <v>-1.0505357335647034E-2</v>
      </c>
    </row>
    <row r="142" spans="3:4" x14ac:dyDescent="0.35">
      <c r="C142" s="2">
        <f>'Log Returns'!A142</f>
        <v>44769</v>
      </c>
      <c r="D142" s="53">
        <f>('Log Returns'!B142*$B$2)+('Log Returns'!C142*$B$3)+('Log Returns'!D142*$B$4)+('Log Returns'!E142*$B$5)+('Log Returns'!F142*$B$6)</f>
        <v>9.3366208116383125E-3</v>
      </c>
    </row>
    <row r="143" spans="3:4" x14ac:dyDescent="0.35">
      <c r="C143" s="2">
        <f>'Log Returns'!A143</f>
        <v>44770</v>
      </c>
      <c r="D143" s="53">
        <f>('Log Returns'!B143*$B$2)+('Log Returns'!C143*$B$3)+('Log Returns'!D143*$B$4)+('Log Returns'!E143*$B$5)+('Log Returns'!F143*$B$6)</f>
        <v>1.6785510074679839E-2</v>
      </c>
    </row>
    <row r="144" spans="3:4" x14ac:dyDescent="0.35">
      <c r="C144" s="2">
        <f>'Log Returns'!A144</f>
        <v>44771</v>
      </c>
      <c r="D144" s="53">
        <f>('Log Returns'!B144*$B$2)+('Log Returns'!C144*$B$3)+('Log Returns'!D144*$B$4)+('Log Returns'!E144*$B$5)+('Log Returns'!F144*$B$6)</f>
        <v>1.1666204413095441E-2</v>
      </c>
    </row>
    <row r="145" spans="3:4" x14ac:dyDescent="0.35">
      <c r="C145" s="2">
        <f>'Log Returns'!A145</f>
        <v>44774</v>
      </c>
      <c r="D145" s="53">
        <f>('Log Returns'!B145*$B$2)+('Log Returns'!C145*$B$3)+('Log Returns'!D145*$B$4)+('Log Returns'!E145*$B$5)+('Log Returns'!F145*$B$6)</f>
        <v>9.2212461574757033E-3</v>
      </c>
    </row>
    <row r="146" spans="3:4" x14ac:dyDescent="0.35">
      <c r="C146" s="2">
        <f>'Log Returns'!A146</f>
        <v>44775</v>
      </c>
      <c r="D146" s="53">
        <f>('Log Returns'!B146*$B$2)+('Log Returns'!C146*$B$3)+('Log Returns'!D146*$B$4)+('Log Returns'!E146*$B$5)+('Log Returns'!F146*$B$6)</f>
        <v>-4.2121584398823061E-4</v>
      </c>
    </row>
    <row r="147" spans="3:4" x14ac:dyDescent="0.35">
      <c r="C147" s="2">
        <f>'Log Returns'!A147</f>
        <v>44776</v>
      </c>
      <c r="D147" s="53">
        <f>('Log Returns'!B147*$B$2)+('Log Returns'!C147*$B$3)+('Log Returns'!D147*$B$4)+('Log Returns'!E147*$B$5)+('Log Returns'!F147*$B$6)</f>
        <v>7.9946001481341084E-3</v>
      </c>
    </row>
    <row r="148" spans="3:4" x14ac:dyDescent="0.35">
      <c r="C148" s="2">
        <f>'Log Returns'!A148</f>
        <v>44777</v>
      </c>
      <c r="D148" s="53">
        <f>('Log Returns'!B148*$B$2)+('Log Returns'!C148*$B$3)+('Log Returns'!D148*$B$4)+('Log Returns'!E148*$B$5)+('Log Returns'!F148*$B$6)</f>
        <v>2.3058099648897205E-3</v>
      </c>
    </row>
    <row r="149" spans="3:4" x14ac:dyDescent="0.35">
      <c r="C149" s="2">
        <f>'Log Returns'!A149</f>
        <v>44778</v>
      </c>
      <c r="D149" s="53">
        <f>('Log Returns'!B149*$B$2)+('Log Returns'!C149*$B$3)+('Log Returns'!D149*$B$4)+('Log Returns'!E149*$B$5)+('Log Returns'!F149*$B$6)</f>
        <v>4.9148045205640719E-3</v>
      </c>
    </row>
    <row r="150" spans="3:4" x14ac:dyDescent="0.35">
      <c r="C150" s="2">
        <f>'Log Returns'!A150</f>
        <v>44781</v>
      </c>
      <c r="D150" s="53">
        <f>('Log Returns'!B150*$B$2)+('Log Returns'!C150*$B$3)+('Log Returns'!D150*$B$4)+('Log Returns'!E150*$B$5)+('Log Returns'!F150*$B$6)</f>
        <v>4.6690974479936722E-3</v>
      </c>
    </row>
    <row r="151" spans="3:4" x14ac:dyDescent="0.35">
      <c r="C151" s="2">
        <f>'Log Returns'!A151</f>
        <v>44783</v>
      </c>
      <c r="D151" s="53">
        <f>('Log Returns'!B151*$B$2)+('Log Returns'!C151*$B$3)+('Log Returns'!D151*$B$4)+('Log Returns'!E151*$B$5)+('Log Returns'!F151*$B$6)</f>
        <v>-5.5780554796187052E-4</v>
      </c>
    </row>
    <row r="152" spans="3:4" x14ac:dyDescent="0.35">
      <c r="C152" s="2">
        <f>'Log Returns'!A152</f>
        <v>44784</v>
      </c>
      <c r="D152" s="53">
        <f>('Log Returns'!B152*$B$2)+('Log Returns'!C152*$B$3)+('Log Returns'!D152*$B$4)+('Log Returns'!E152*$B$5)+('Log Returns'!F152*$B$6)</f>
        <v>6.2236893559046453E-3</v>
      </c>
    </row>
    <row r="153" spans="3:4" x14ac:dyDescent="0.35">
      <c r="C153" s="2">
        <f>'Log Returns'!A153</f>
        <v>44785</v>
      </c>
      <c r="D153" s="53">
        <f>('Log Returns'!B153*$B$2)+('Log Returns'!C153*$B$3)+('Log Returns'!D153*$B$4)+('Log Returns'!E153*$B$5)+('Log Returns'!F153*$B$6)</f>
        <v>3.6471590354350586E-3</v>
      </c>
    </row>
    <row r="154" spans="3:4" x14ac:dyDescent="0.35">
      <c r="C154" s="2">
        <f>'Log Returns'!A154</f>
        <v>44789</v>
      </c>
      <c r="D154" s="53">
        <f>('Log Returns'!B154*$B$2)+('Log Returns'!C154*$B$3)+('Log Returns'!D154*$B$4)+('Log Returns'!E154*$B$5)+('Log Returns'!F154*$B$6)</f>
        <v>3.5564015588010539E-3</v>
      </c>
    </row>
    <row r="155" spans="3:4" x14ac:dyDescent="0.35">
      <c r="C155" s="2">
        <f>'Log Returns'!A155</f>
        <v>44790</v>
      </c>
      <c r="D155" s="53">
        <f>('Log Returns'!B155*$B$2)+('Log Returns'!C155*$B$3)+('Log Returns'!D155*$B$4)+('Log Returns'!E155*$B$5)+('Log Returns'!F155*$B$6)</f>
        <v>4.9551581217769083E-3</v>
      </c>
    </row>
    <row r="156" spans="3:4" x14ac:dyDescent="0.35">
      <c r="C156" s="2">
        <f>'Log Returns'!A156</f>
        <v>44791</v>
      </c>
      <c r="D156" s="53">
        <f>('Log Returns'!B156*$B$2)+('Log Returns'!C156*$B$3)+('Log Returns'!D156*$B$4)+('Log Returns'!E156*$B$5)+('Log Returns'!F156*$B$6)</f>
        <v>-1.9912165148864127E-3</v>
      </c>
    </row>
    <row r="157" spans="3:4" x14ac:dyDescent="0.35">
      <c r="C157" s="2">
        <f>'Log Returns'!A157</f>
        <v>44792</v>
      </c>
      <c r="D157" s="53">
        <f>('Log Returns'!B157*$B$2)+('Log Returns'!C157*$B$3)+('Log Returns'!D157*$B$4)+('Log Returns'!E157*$B$5)+('Log Returns'!F157*$B$6)</f>
        <v>-7.2297459229677761E-3</v>
      </c>
    </row>
    <row r="158" spans="3:4" x14ac:dyDescent="0.35">
      <c r="C158" s="2">
        <f>'Log Returns'!A158</f>
        <v>44795</v>
      </c>
      <c r="D158" s="53">
        <f>('Log Returns'!B158*$B$2)+('Log Returns'!C158*$B$3)+('Log Returns'!D158*$B$4)+('Log Returns'!E158*$B$5)+('Log Returns'!F158*$B$6)</f>
        <v>-7.790298321685046E-3</v>
      </c>
    </row>
    <row r="159" spans="3:4" x14ac:dyDescent="0.35">
      <c r="C159" s="2">
        <f>'Log Returns'!A159</f>
        <v>44796</v>
      </c>
      <c r="D159" s="53">
        <f>('Log Returns'!B159*$B$2)+('Log Returns'!C159*$B$3)+('Log Returns'!D159*$B$4)+('Log Returns'!E159*$B$5)+('Log Returns'!F159*$B$6)</f>
        <v>-1.7513179741919546E-3</v>
      </c>
    </row>
    <row r="160" spans="3:4" x14ac:dyDescent="0.35">
      <c r="C160" s="2">
        <f>'Log Returns'!A160</f>
        <v>44797</v>
      </c>
      <c r="D160" s="53">
        <f>('Log Returns'!B160*$B$2)+('Log Returns'!C160*$B$3)+('Log Returns'!D160*$B$4)+('Log Returns'!E160*$B$5)+('Log Returns'!F160*$B$6)</f>
        <v>-1.9390326977647232E-3</v>
      </c>
    </row>
    <row r="161" spans="3:4" x14ac:dyDescent="0.35">
      <c r="C161" s="2">
        <f>'Log Returns'!A161</f>
        <v>44798</v>
      </c>
      <c r="D161" s="53">
        <f>('Log Returns'!B161*$B$2)+('Log Returns'!C161*$B$3)+('Log Returns'!D161*$B$4)+('Log Returns'!E161*$B$5)+('Log Returns'!F161*$B$6)</f>
        <v>-6.7469867247984417E-3</v>
      </c>
    </row>
    <row r="162" spans="3:4" x14ac:dyDescent="0.35">
      <c r="C162" s="2">
        <f>'Log Returns'!A162</f>
        <v>44799</v>
      </c>
      <c r="D162" s="53">
        <f>('Log Returns'!B162*$B$2)+('Log Returns'!C162*$B$3)+('Log Returns'!D162*$B$4)+('Log Returns'!E162*$B$5)+('Log Returns'!F162*$B$6)</f>
        <v>-3.7189244357815692E-4</v>
      </c>
    </row>
    <row r="163" spans="3:4" x14ac:dyDescent="0.35">
      <c r="C163" s="2">
        <f>'Log Returns'!A163</f>
        <v>44802</v>
      </c>
      <c r="D163" s="53">
        <f>('Log Returns'!B163*$B$2)+('Log Returns'!C163*$B$3)+('Log Returns'!D163*$B$4)+('Log Returns'!E163*$B$5)+('Log Returns'!F163*$B$6)</f>
        <v>-1.8279917897277634E-2</v>
      </c>
    </row>
    <row r="164" spans="3:4" x14ac:dyDescent="0.35">
      <c r="C164" s="2">
        <f>'Log Returns'!A164</f>
        <v>44803</v>
      </c>
      <c r="D164" s="53">
        <f>('Log Returns'!B164*$B$2)+('Log Returns'!C164*$B$3)+('Log Returns'!D164*$B$4)+('Log Returns'!E164*$B$5)+('Log Returns'!F164*$B$6)</f>
        <v>2.386163397090663E-2</v>
      </c>
    </row>
    <row r="165" spans="3:4" x14ac:dyDescent="0.35">
      <c r="C165" s="2">
        <f>'Log Returns'!A165</f>
        <v>44805</v>
      </c>
      <c r="D165" s="53">
        <f>('Log Returns'!B165*$B$2)+('Log Returns'!C165*$B$3)+('Log Returns'!D165*$B$4)+('Log Returns'!E165*$B$5)+('Log Returns'!F165*$B$6)</f>
        <v>-1.9630208444741018E-2</v>
      </c>
    </row>
    <row r="166" spans="3:4" x14ac:dyDescent="0.35">
      <c r="C166" s="2">
        <f>'Log Returns'!A166</f>
        <v>44806</v>
      </c>
      <c r="D166" s="53">
        <f>('Log Returns'!B166*$B$2)+('Log Returns'!C166*$B$3)+('Log Returns'!D166*$B$4)+('Log Returns'!E166*$B$5)+('Log Returns'!F166*$B$6)</f>
        <v>-9.4599409331512247E-4</v>
      </c>
    </row>
    <row r="167" spans="3:4" x14ac:dyDescent="0.35">
      <c r="C167" s="2">
        <f>'Log Returns'!A167</f>
        <v>44809</v>
      </c>
      <c r="D167" s="53">
        <f>('Log Returns'!B167*$B$2)+('Log Returns'!C167*$B$3)+('Log Returns'!D167*$B$4)+('Log Returns'!E167*$B$5)+('Log Returns'!F167*$B$6)</f>
        <v>1.0203039420723231E-2</v>
      </c>
    </row>
    <row r="168" spans="3:4" x14ac:dyDescent="0.35">
      <c r="C168" s="2">
        <f>'Log Returns'!A168</f>
        <v>44810</v>
      </c>
      <c r="D168" s="53">
        <f>('Log Returns'!B168*$B$2)+('Log Returns'!C168*$B$3)+('Log Returns'!D168*$B$4)+('Log Returns'!E168*$B$5)+('Log Returns'!F168*$B$6)</f>
        <v>7.4359028303652578E-5</v>
      </c>
    </row>
    <row r="169" spans="3:4" x14ac:dyDescent="0.35">
      <c r="C169" s="2">
        <f>'Log Returns'!A169</f>
        <v>44811</v>
      </c>
      <c r="D169" s="53">
        <f>('Log Returns'!B169*$B$2)+('Log Returns'!C169*$B$3)+('Log Returns'!D169*$B$4)+('Log Returns'!E169*$B$5)+('Log Returns'!F169*$B$6)</f>
        <v>-1.7210913395541028E-3</v>
      </c>
    </row>
    <row r="170" spans="3:4" x14ac:dyDescent="0.35">
      <c r="C170" s="2">
        <f>'Log Returns'!A170</f>
        <v>44812</v>
      </c>
      <c r="D170" s="53">
        <f>('Log Returns'!B170*$B$2)+('Log Returns'!C170*$B$3)+('Log Returns'!D170*$B$4)+('Log Returns'!E170*$B$5)+('Log Returns'!F170*$B$6)</f>
        <v>1.1453296844819102E-2</v>
      </c>
    </row>
    <row r="171" spans="3:4" x14ac:dyDescent="0.35">
      <c r="C171" s="2">
        <f>'Log Returns'!A171</f>
        <v>44813</v>
      </c>
      <c r="D171" s="53">
        <f>('Log Returns'!B171*$B$2)+('Log Returns'!C171*$B$3)+('Log Returns'!D171*$B$4)+('Log Returns'!E171*$B$5)+('Log Returns'!F171*$B$6)</f>
        <v>7.4532598042476176E-3</v>
      </c>
    </row>
    <row r="172" spans="3:4" x14ac:dyDescent="0.35">
      <c r="C172" s="2">
        <f>'Log Returns'!A172</f>
        <v>44816</v>
      </c>
      <c r="D172" s="53">
        <f>('Log Returns'!B172*$B$2)+('Log Returns'!C172*$B$3)+('Log Returns'!D172*$B$4)+('Log Returns'!E172*$B$5)+('Log Returns'!F172*$B$6)</f>
        <v>8.5673640841560268E-3</v>
      </c>
    </row>
    <row r="173" spans="3:4" x14ac:dyDescent="0.35">
      <c r="C173" s="2">
        <f>'Log Returns'!A173</f>
        <v>44817</v>
      </c>
      <c r="D173" s="53">
        <f>('Log Returns'!B173*$B$2)+('Log Returns'!C173*$B$3)+('Log Returns'!D173*$B$4)+('Log Returns'!E173*$B$5)+('Log Returns'!F173*$B$6)</f>
        <v>4.6802731303809391E-3</v>
      </c>
    </row>
    <row r="174" spans="3:4" x14ac:dyDescent="0.35">
      <c r="C174" s="2">
        <f>'Log Returns'!A174</f>
        <v>44818</v>
      </c>
      <c r="D174" s="53">
        <f>('Log Returns'!B174*$B$2)+('Log Returns'!C174*$B$3)+('Log Returns'!D174*$B$4)+('Log Returns'!E174*$B$5)+('Log Returns'!F174*$B$6)</f>
        <v>-1.6144627117291286E-2</v>
      </c>
    </row>
    <row r="175" spans="3:4" x14ac:dyDescent="0.35">
      <c r="C175" s="2">
        <f>'Log Returns'!A175</f>
        <v>44819</v>
      </c>
      <c r="D175" s="53">
        <f>('Log Returns'!B175*$B$2)+('Log Returns'!C175*$B$3)+('Log Returns'!D175*$B$4)+('Log Returns'!E175*$B$5)+('Log Returns'!F175*$B$6)</f>
        <v>-9.7427025165440443E-3</v>
      </c>
    </row>
    <row r="176" spans="3:4" x14ac:dyDescent="0.35">
      <c r="C176" s="2">
        <f>'Log Returns'!A176</f>
        <v>44820</v>
      </c>
      <c r="D176" s="53">
        <f>('Log Returns'!B176*$B$2)+('Log Returns'!C176*$B$3)+('Log Returns'!D176*$B$4)+('Log Returns'!E176*$B$5)+('Log Returns'!F176*$B$6)</f>
        <v>-2.2758996063465313E-2</v>
      </c>
    </row>
    <row r="177" spans="3:4" x14ac:dyDescent="0.35">
      <c r="C177" s="2">
        <f>'Log Returns'!A177</f>
        <v>44823</v>
      </c>
      <c r="D177" s="53">
        <f>('Log Returns'!B177*$B$2)+('Log Returns'!C177*$B$3)+('Log Returns'!D177*$B$4)+('Log Returns'!E177*$B$5)+('Log Returns'!F177*$B$6)</f>
        <v>3.9019418659208939E-3</v>
      </c>
    </row>
    <row r="178" spans="3:4" x14ac:dyDescent="0.35">
      <c r="C178" s="2">
        <f>'Log Returns'!A178</f>
        <v>44824</v>
      </c>
      <c r="D178" s="53">
        <f>('Log Returns'!B178*$B$2)+('Log Returns'!C178*$B$3)+('Log Returns'!D178*$B$4)+('Log Returns'!E178*$B$5)+('Log Returns'!F178*$B$6)</f>
        <v>4.6366753138987471E-3</v>
      </c>
    </row>
    <row r="179" spans="3:4" x14ac:dyDescent="0.35">
      <c r="C179" s="2">
        <f>'Log Returns'!A179</f>
        <v>44825</v>
      </c>
      <c r="D179" s="53">
        <f>('Log Returns'!B179*$B$2)+('Log Returns'!C179*$B$3)+('Log Returns'!D179*$B$4)+('Log Returns'!E179*$B$5)+('Log Returns'!F179*$B$6)</f>
        <v>-1.075194707953937E-3</v>
      </c>
    </row>
    <row r="180" spans="3:4" x14ac:dyDescent="0.35">
      <c r="C180" s="2">
        <f>'Log Returns'!A180</f>
        <v>44826</v>
      </c>
      <c r="D180" s="53">
        <f>('Log Returns'!B180*$B$2)+('Log Returns'!C180*$B$3)+('Log Returns'!D180*$B$4)+('Log Returns'!E180*$B$5)+('Log Returns'!F180*$B$6)</f>
        <v>-3.04966077871913E-3</v>
      </c>
    </row>
    <row r="181" spans="3:4" x14ac:dyDescent="0.35">
      <c r="C181" s="2">
        <f>'Log Returns'!A181</f>
        <v>44827</v>
      </c>
      <c r="D181" s="53">
        <f>('Log Returns'!B181*$B$2)+('Log Returns'!C181*$B$3)+('Log Returns'!D181*$B$4)+('Log Returns'!E181*$B$5)+('Log Returns'!F181*$B$6)</f>
        <v>-9.8004029367385233E-3</v>
      </c>
    </row>
    <row r="182" spans="3:4" x14ac:dyDescent="0.35">
      <c r="C182" s="2">
        <f>'Log Returns'!A182</f>
        <v>44830</v>
      </c>
      <c r="D182" s="53">
        <f>('Log Returns'!B182*$B$2)+('Log Returns'!C182*$B$3)+('Log Returns'!D182*$B$4)+('Log Returns'!E182*$B$5)+('Log Returns'!F182*$B$6)</f>
        <v>-1.5175823492499064E-2</v>
      </c>
    </row>
    <row r="183" spans="3:4" x14ac:dyDescent="0.35">
      <c r="C183" s="2">
        <f>'Log Returns'!A183</f>
        <v>44831</v>
      </c>
      <c r="D183" s="53">
        <f>('Log Returns'!B183*$B$2)+('Log Returns'!C183*$B$3)+('Log Returns'!D183*$B$4)+('Log Returns'!E183*$B$5)+('Log Returns'!F183*$B$6)</f>
        <v>4.4013503139714062E-3</v>
      </c>
    </row>
    <row r="184" spans="3:4" x14ac:dyDescent="0.35">
      <c r="C184" s="2">
        <f>'Log Returns'!A184</f>
        <v>44832</v>
      </c>
      <c r="D184" s="53">
        <f>('Log Returns'!B184*$B$2)+('Log Returns'!C184*$B$3)+('Log Returns'!D184*$B$4)+('Log Returns'!E184*$B$5)+('Log Returns'!F184*$B$6)</f>
        <v>-1.0749046524855383E-2</v>
      </c>
    </row>
    <row r="185" spans="3:4" x14ac:dyDescent="0.35">
      <c r="C185" s="2">
        <f>'Log Returns'!A185</f>
        <v>44833</v>
      </c>
      <c r="D185" s="53">
        <f>('Log Returns'!B185*$B$2)+('Log Returns'!C185*$B$3)+('Log Returns'!D185*$B$4)+('Log Returns'!E185*$B$5)+('Log Returns'!F185*$B$6)</f>
        <v>1.0092479224121558E-3</v>
      </c>
    </row>
    <row r="186" spans="3:4" x14ac:dyDescent="0.35">
      <c r="C186" s="2">
        <f>'Log Returns'!A186</f>
        <v>44834</v>
      </c>
      <c r="D186" s="53">
        <f>('Log Returns'!B186*$B$2)+('Log Returns'!C186*$B$3)+('Log Returns'!D186*$B$4)+('Log Returns'!E186*$B$5)+('Log Returns'!F186*$B$6)</f>
        <v>1.0786731095373486E-2</v>
      </c>
    </row>
    <row r="187" spans="3:4" x14ac:dyDescent="0.35">
      <c r="C187" s="2">
        <f>'Log Returns'!A187</f>
        <v>44837</v>
      </c>
      <c r="D187" s="53">
        <f>('Log Returns'!B187*$B$2)+('Log Returns'!C187*$B$3)+('Log Returns'!D187*$B$4)+('Log Returns'!E187*$B$5)+('Log Returns'!F187*$B$6)</f>
        <v>-1.2760012827987288E-2</v>
      </c>
    </row>
    <row r="188" spans="3:4" x14ac:dyDescent="0.35">
      <c r="C188" s="2">
        <f>'Log Returns'!A188</f>
        <v>44838</v>
      </c>
      <c r="D188" s="53">
        <f>('Log Returns'!B188*$B$2)+('Log Returns'!C188*$B$3)+('Log Returns'!D188*$B$4)+('Log Returns'!E188*$B$5)+('Log Returns'!F188*$B$6)</f>
        <v>2.534004097513428E-2</v>
      </c>
    </row>
    <row r="189" spans="3:4" x14ac:dyDescent="0.35">
      <c r="C189" s="2">
        <f>'Log Returns'!A189</f>
        <v>44840</v>
      </c>
      <c r="D189" s="53">
        <f>('Log Returns'!B189*$B$2)+('Log Returns'!C189*$B$3)+('Log Returns'!D189*$B$4)+('Log Returns'!E189*$B$5)+('Log Returns'!F189*$B$6)</f>
        <v>1.1337939044607385E-2</v>
      </c>
    </row>
    <row r="190" spans="3:4" x14ac:dyDescent="0.35">
      <c r="C190" s="2">
        <f>'Log Returns'!A190</f>
        <v>44841</v>
      </c>
      <c r="D190" s="53">
        <f>('Log Returns'!B190*$B$2)+('Log Returns'!C190*$B$3)+('Log Returns'!D190*$B$4)+('Log Returns'!E190*$B$5)+('Log Returns'!F190*$B$6)</f>
        <v>-4.2795684226510115E-3</v>
      </c>
    </row>
    <row r="191" spans="3:4" x14ac:dyDescent="0.35">
      <c r="C191" s="2">
        <f>'Log Returns'!A191</f>
        <v>44844</v>
      </c>
      <c r="D191" s="53">
        <f>('Log Returns'!B191*$B$2)+('Log Returns'!C191*$B$3)+('Log Returns'!D191*$B$4)+('Log Returns'!E191*$B$5)+('Log Returns'!F191*$B$6)</f>
        <v>-1.1122673971681193E-3</v>
      </c>
    </row>
    <row r="192" spans="3:4" x14ac:dyDescent="0.35">
      <c r="C192" s="2">
        <f>'Log Returns'!A192</f>
        <v>44845</v>
      </c>
      <c r="D192" s="53">
        <f>('Log Returns'!B192*$B$2)+('Log Returns'!C192*$B$3)+('Log Returns'!D192*$B$4)+('Log Returns'!E192*$B$5)+('Log Returns'!F192*$B$6)</f>
        <v>-1.6065822214709733E-2</v>
      </c>
    </row>
    <row r="193" spans="3:4" x14ac:dyDescent="0.35">
      <c r="C193" s="2">
        <f>'Log Returns'!A193</f>
        <v>44846</v>
      </c>
      <c r="D193" s="53">
        <f>('Log Returns'!B193*$B$2)+('Log Returns'!C193*$B$3)+('Log Returns'!D193*$B$4)+('Log Returns'!E193*$B$5)+('Log Returns'!F193*$B$6)</f>
        <v>5.9766048471025218E-3</v>
      </c>
    </row>
    <row r="194" spans="3:4" x14ac:dyDescent="0.35">
      <c r="C194" s="2">
        <f>'Log Returns'!A194</f>
        <v>44847</v>
      </c>
      <c r="D194" s="53">
        <f>('Log Returns'!B194*$B$2)+('Log Returns'!C194*$B$3)+('Log Returns'!D194*$B$4)+('Log Returns'!E194*$B$5)+('Log Returns'!F194*$B$6)</f>
        <v>-4.743865641533806E-3</v>
      </c>
    </row>
    <row r="195" spans="3:4" x14ac:dyDescent="0.35">
      <c r="C195" s="2">
        <f>'Log Returns'!A195</f>
        <v>44848</v>
      </c>
      <c r="D195" s="53">
        <f>('Log Returns'!B195*$B$2)+('Log Returns'!C195*$B$3)+('Log Returns'!D195*$B$4)+('Log Returns'!E195*$B$5)+('Log Returns'!F195*$B$6)</f>
        <v>1.2180572523455429E-2</v>
      </c>
    </row>
    <row r="196" spans="3:4" x14ac:dyDescent="0.35">
      <c r="C196" s="2">
        <f>'Log Returns'!A196</f>
        <v>44851</v>
      </c>
      <c r="D196" s="53">
        <f>('Log Returns'!B196*$B$2)+('Log Returns'!C196*$B$3)+('Log Returns'!D196*$B$4)+('Log Returns'!E196*$B$5)+('Log Returns'!F196*$B$6)</f>
        <v>9.6113008846765973E-3</v>
      </c>
    </row>
    <row r="197" spans="3:4" x14ac:dyDescent="0.35">
      <c r="C197" s="2">
        <f>'Log Returns'!A197</f>
        <v>44852</v>
      </c>
      <c r="D197" s="53">
        <f>('Log Returns'!B197*$B$2)+('Log Returns'!C197*$B$3)+('Log Returns'!D197*$B$4)+('Log Returns'!E197*$B$5)+('Log Returns'!F197*$B$6)</f>
        <v>1.4855020826332832E-2</v>
      </c>
    </row>
    <row r="198" spans="3:4" x14ac:dyDescent="0.35">
      <c r="C198" s="2">
        <f>'Log Returns'!A198</f>
        <v>44853</v>
      </c>
      <c r="D198" s="53">
        <f>('Log Returns'!B198*$B$2)+('Log Returns'!C198*$B$3)+('Log Returns'!D198*$B$4)+('Log Returns'!E198*$B$5)+('Log Returns'!F198*$B$6)</f>
        <v>1.999894353020875E-3</v>
      </c>
    </row>
    <row r="199" spans="3:4" x14ac:dyDescent="0.35">
      <c r="C199" s="2">
        <f>'Log Returns'!A199</f>
        <v>44854</v>
      </c>
      <c r="D199" s="53">
        <f>('Log Returns'!B199*$B$2)+('Log Returns'!C199*$B$3)+('Log Returns'!D199*$B$4)+('Log Returns'!E199*$B$5)+('Log Returns'!F199*$B$6)</f>
        <v>6.0154944347668039E-3</v>
      </c>
    </row>
    <row r="200" spans="3:4" x14ac:dyDescent="0.35">
      <c r="C200" s="2">
        <f>'Log Returns'!A200</f>
        <v>44855</v>
      </c>
      <c r="D200" s="53">
        <f>('Log Returns'!B200*$B$2)+('Log Returns'!C200*$B$3)+('Log Returns'!D200*$B$4)+('Log Returns'!E200*$B$5)+('Log Returns'!F200*$B$6)</f>
        <v>-1.8927272670183073E-3</v>
      </c>
    </row>
    <row r="201" spans="3:4" x14ac:dyDescent="0.35">
      <c r="C201" s="2">
        <f>'Log Returns'!A201</f>
        <v>44858</v>
      </c>
      <c r="D201" s="53">
        <f>('Log Returns'!B201*$B$2)+('Log Returns'!C201*$B$3)+('Log Returns'!D201*$B$4)+('Log Returns'!E201*$B$5)+('Log Returns'!F201*$B$6)</f>
        <v>9.9008750396821447E-3</v>
      </c>
    </row>
    <row r="202" spans="3:4" x14ac:dyDescent="0.35">
      <c r="C202" s="2">
        <f>'Log Returns'!A202</f>
        <v>44859</v>
      </c>
      <c r="D202" s="53">
        <f>('Log Returns'!B202*$B$2)+('Log Returns'!C202*$B$3)+('Log Returns'!D202*$B$4)+('Log Returns'!E202*$B$5)+('Log Returns'!F202*$B$6)</f>
        <v>-3.053379446484027E-3</v>
      </c>
    </row>
    <row r="203" spans="3:4" x14ac:dyDescent="0.35">
      <c r="C203" s="2">
        <f>'Log Returns'!A203</f>
        <v>44861</v>
      </c>
      <c r="D203" s="53">
        <f>('Log Returns'!B203*$B$2)+('Log Returns'!C203*$B$3)+('Log Returns'!D203*$B$4)+('Log Returns'!E203*$B$5)+('Log Returns'!F203*$B$6)</f>
        <v>-2.5246182761789039E-4</v>
      </c>
    </row>
    <row r="204" spans="3:4" x14ac:dyDescent="0.35">
      <c r="C204" s="2">
        <f>'Log Returns'!A204</f>
        <v>44862</v>
      </c>
      <c r="D204" s="53">
        <f>('Log Returns'!B204*$B$2)+('Log Returns'!C204*$B$3)+('Log Returns'!D204*$B$4)+('Log Returns'!E204*$B$5)+('Log Returns'!F204*$B$6)</f>
        <v>1.3750421738952696E-3</v>
      </c>
    </row>
    <row r="205" spans="3:4" x14ac:dyDescent="0.35">
      <c r="C205" s="2">
        <f>'Log Returns'!A205</f>
        <v>44865</v>
      </c>
      <c r="D205" s="53">
        <f>('Log Returns'!B205*$B$2)+('Log Returns'!C205*$B$3)+('Log Returns'!D205*$B$4)+('Log Returns'!E205*$B$5)+('Log Returns'!F205*$B$6)</f>
        <v>8.7910809624351383E-3</v>
      </c>
    </row>
    <row r="206" spans="3:4" x14ac:dyDescent="0.35">
      <c r="C206" s="2">
        <f>'Log Returns'!A206</f>
        <v>44866</v>
      </c>
      <c r="D206" s="53">
        <f>('Log Returns'!B206*$B$2)+('Log Returns'!C206*$B$3)+('Log Returns'!D206*$B$4)+('Log Returns'!E206*$B$5)+('Log Returns'!F206*$B$6)</f>
        <v>7.5497233045846799E-3</v>
      </c>
    </row>
    <row r="207" spans="3:4" x14ac:dyDescent="0.35">
      <c r="C207" s="2">
        <f>'Log Returns'!A207</f>
        <v>44867</v>
      </c>
      <c r="D207" s="53">
        <f>('Log Returns'!B207*$B$2)+('Log Returns'!C207*$B$3)+('Log Returns'!D207*$B$4)+('Log Returns'!E207*$B$5)+('Log Returns'!F207*$B$6)</f>
        <v>-3.1659955885724378E-4</v>
      </c>
    </row>
    <row r="208" spans="3:4" x14ac:dyDescent="0.35">
      <c r="C208" s="2">
        <f>'Log Returns'!A208</f>
        <v>44868</v>
      </c>
      <c r="D208" s="53">
        <f>('Log Returns'!B208*$B$2)+('Log Returns'!C208*$B$3)+('Log Returns'!D208*$B$4)+('Log Returns'!E208*$B$5)+('Log Returns'!F208*$B$6)</f>
        <v>-4.0162834945542038E-3</v>
      </c>
    </row>
    <row r="209" spans="3:4" x14ac:dyDescent="0.35">
      <c r="C209" s="2">
        <f>'Log Returns'!A209</f>
        <v>44869</v>
      </c>
      <c r="D209" s="53">
        <f>('Log Returns'!B209*$B$2)+('Log Returns'!C209*$B$3)+('Log Returns'!D209*$B$4)+('Log Returns'!E209*$B$5)+('Log Returns'!F209*$B$6)</f>
        <v>5.8976410618482298E-4</v>
      </c>
    </row>
    <row r="210" spans="3:4" x14ac:dyDescent="0.35">
      <c r="C210" s="2">
        <f>'Log Returns'!A210</f>
        <v>44872</v>
      </c>
      <c r="D210" s="53">
        <f>('Log Returns'!B210*$B$2)+('Log Returns'!C210*$B$3)+('Log Returns'!D210*$B$4)+('Log Returns'!E210*$B$5)+('Log Returns'!F210*$B$6)</f>
        <v>3.8328441117504424E-3</v>
      </c>
    </row>
    <row r="211" spans="3:4" x14ac:dyDescent="0.35">
      <c r="C211" s="2">
        <f>'Log Returns'!A211</f>
        <v>44874</v>
      </c>
      <c r="D211" s="53">
        <f>('Log Returns'!B211*$B$2)+('Log Returns'!C211*$B$3)+('Log Returns'!D211*$B$4)+('Log Returns'!E211*$B$5)+('Log Returns'!F211*$B$6)</f>
        <v>1.7003916404587649E-3</v>
      </c>
    </row>
    <row r="212" spans="3:4" x14ac:dyDescent="0.35">
      <c r="C212" s="2">
        <f>'Log Returns'!A212</f>
        <v>44875</v>
      </c>
      <c r="D212" s="53">
        <f>('Log Returns'!B212*$B$2)+('Log Returns'!C212*$B$3)+('Log Returns'!D212*$B$4)+('Log Returns'!E212*$B$5)+('Log Returns'!F212*$B$6)</f>
        <v>-6.8891147700805861E-3</v>
      </c>
    </row>
    <row r="213" spans="3:4" x14ac:dyDescent="0.35">
      <c r="C213" s="2">
        <f>'Log Returns'!A213</f>
        <v>44876</v>
      </c>
      <c r="D213" s="53">
        <f>('Log Returns'!B213*$B$2)+('Log Returns'!C213*$B$3)+('Log Returns'!D213*$B$4)+('Log Returns'!E213*$B$5)+('Log Returns'!F213*$B$6)</f>
        <v>1.9484248386635143E-2</v>
      </c>
    </row>
    <row r="214" spans="3:4" x14ac:dyDescent="0.35">
      <c r="C214" s="2">
        <f>'Log Returns'!A214</f>
        <v>44879</v>
      </c>
      <c r="D214" s="53">
        <f>('Log Returns'!B214*$B$2)+('Log Returns'!C214*$B$3)+('Log Returns'!D214*$B$4)+('Log Returns'!E214*$B$5)+('Log Returns'!F214*$B$6)</f>
        <v>-5.6502903356550217E-3</v>
      </c>
    </row>
    <row r="215" spans="3:4" x14ac:dyDescent="0.35">
      <c r="C215" s="2">
        <f>'Log Returns'!A215</f>
        <v>44880</v>
      </c>
      <c r="D215" s="53">
        <f>('Log Returns'!B215*$B$2)+('Log Returns'!C215*$B$3)+('Log Returns'!D215*$B$4)+('Log Returns'!E215*$B$5)+('Log Returns'!F215*$B$6)</f>
        <v>2.6086193261831802E-3</v>
      </c>
    </row>
    <row r="216" spans="3:4" x14ac:dyDescent="0.35">
      <c r="C216" s="2">
        <f>'Log Returns'!A216</f>
        <v>44881</v>
      </c>
      <c r="D216" s="53">
        <f>('Log Returns'!B216*$B$2)+('Log Returns'!C216*$B$3)+('Log Returns'!D216*$B$4)+('Log Returns'!E216*$B$5)+('Log Returns'!F216*$B$6)</f>
        <v>1.0555874011025273E-3</v>
      </c>
    </row>
    <row r="217" spans="3:4" x14ac:dyDescent="0.35">
      <c r="C217" s="2">
        <f>'Log Returns'!A217</f>
        <v>44882</v>
      </c>
      <c r="D217" s="53">
        <f>('Log Returns'!B217*$B$2)+('Log Returns'!C217*$B$3)+('Log Returns'!D217*$B$4)+('Log Returns'!E217*$B$5)+('Log Returns'!F217*$B$6)</f>
        <v>-6.6807695748724019E-4</v>
      </c>
    </row>
    <row r="218" spans="3:4" x14ac:dyDescent="0.35">
      <c r="C218" s="2">
        <f>'Log Returns'!A218</f>
        <v>44883</v>
      </c>
      <c r="D218" s="53">
        <f>('Log Returns'!B218*$B$2)+('Log Returns'!C218*$B$3)+('Log Returns'!D218*$B$4)+('Log Returns'!E218*$B$5)+('Log Returns'!F218*$B$6)</f>
        <v>-1.1170791094353015E-3</v>
      </c>
    </row>
    <row r="219" spans="3:4" x14ac:dyDescent="0.35">
      <c r="C219" s="2">
        <f>'Log Returns'!A219</f>
        <v>44886</v>
      </c>
      <c r="D219" s="53">
        <f>('Log Returns'!B219*$B$2)+('Log Returns'!C219*$B$3)+('Log Returns'!D219*$B$4)+('Log Returns'!E219*$B$5)+('Log Returns'!F219*$B$6)</f>
        <v>-1.2477901868680393E-2</v>
      </c>
    </row>
    <row r="220" spans="3:4" x14ac:dyDescent="0.35">
      <c r="C220" s="2">
        <f>'Log Returns'!A220</f>
        <v>44887</v>
      </c>
      <c r="D220" s="53">
        <f>('Log Returns'!B220*$B$2)+('Log Returns'!C220*$B$3)+('Log Returns'!D220*$B$4)+('Log Returns'!E220*$B$5)+('Log Returns'!F220*$B$6)</f>
        <v>7.4488761770119573E-3</v>
      </c>
    </row>
    <row r="221" spans="3:4" x14ac:dyDescent="0.35">
      <c r="C221" s="2">
        <f>'Log Returns'!A221</f>
        <v>44888</v>
      </c>
      <c r="D221" s="53">
        <f>('Log Returns'!B221*$B$2)+('Log Returns'!C221*$B$3)+('Log Returns'!D221*$B$4)+('Log Returns'!E221*$B$5)+('Log Returns'!F221*$B$6)</f>
        <v>-7.2221608856658671E-4</v>
      </c>
    </row>
    <row r="222" spans="3:4" x14ac:dyDescent="0.35">
      <c r="C222" s="2">
        <f>'Log Returns'!A222</f>
        <v>44889</v>
      </c>
      <c r="D222" s="53">
        <f>('Log Returns'!B222*$B$2)+('Log Returns'!C222*$B$3)+('Log Returns'!D222*$B$4)+('Log Returns'!E222*$B$5)+('Log Returns'!F222*$B$6)</f>
        <v>1.4822195633372755E-2</v>
      </c>
    </row>
    <row r="223" spans="3:4" x14ac:dyDescent="0.35">
      <c r="C223" s="2">
        <f>'Log Returns'!A223</f>
        <v>44890</v>
      </c>
      <c r="D223" s="53">
        <f>('Log Returns'!B223*$B$2)+('Log Returns'!C223*$B$3)+('Log Returns'!D223*$B$4)+('Log Returns'!E223*$B$5)+('Log Returns'!F223*$B$6)</f>
        <v>2.1514757963375757E-3</v>
      </c>
    </row>
    <row r="224" spans="3:4" x14ac:dyDescent="0.35">
      <c r="C224" s="2">
        <f>'Log Returns'!A224</f>
        <v>44893</v>
      </c>
      <c r="D224" s="53">
        <f>('Log Returns'!B224*$B$2)+('Log Returns'!C224*$B$3)+('Log Returns'!D224*$B$4)+('Log Returns'!E224*$B$5)+('Log Returns'!F224*$B$6)</f>
        <v>6.9563719734536903E-3</v>
      </c>
    </row>
    <row r="225" spans="3:4" x14ac:dyDescent="0.35">
      <c r="C225" s="2">
        <f>'Log Returns'!A225</f>
        <v>44894</v>
      </c>
      <c r="D225" s="53">
        <f>('Log Returns'!B225*$B$2)+('Log Returns'!C225*$B$3)+('Log Returns'!D225*$B$4)+('Log Returns'!E225*$B$5)+('Log Returns'!F225*$B$6)</f>
        <v>4.4621719396936328E-3</v>
      </c>
    </row>
    <row r="226" spans="3:4" x14ac:dyDescent="0.35">
      <c r="C226" s="2">
        <f>'Log Returns'!A226</f>
        <v>44895</v>
      </c>
      <c r="D226" s="53">
        <f>('Log Returns'!B226*$B$2)+('Log Returns'!C226*$B$3)+('Log Returns'!D226*$B$4)+('Log Returns'!E226*$B$5)+('Log Returns'!F226*$B$6)</f>
        <v>1.6942807830830993E-3</v>
      </c>
    </row>
    <row r="227" spans="3:4" x14ac:dyDescent="0.35">
      <c r="C227" s="2">
        <f>'Log Returns'!A227</f>
        <v>44896</v>
      </c>
      <c r="D227" s="53">
        <f>('Log Returns'!B227*$B$2)+('Log Returns'!C227*$B$3)+('Log Returns'!D227*$B$4)+('Log Returns'!E227*$B$5)+('Log Returns'!F227*$B$6)</f>
        <v>4.0940399773432019E-3</v>
      </c>
    </row>
    <row r="228" spans="3:4" x14ac:dyDescent="0.35">
      <c r="C228" s="2">
        <f>'Log Returns'!A228</f>
        <v>44897</v>
      </c>
      <c r="D228" s="53">
        <f>('Log Returns'!B228*$B$2)+('Log Returns'!C228*$B$3)+('Log Returns'!D228*$B$4)+('Log Returns'!E228*$B$5)+('Log Returns'!F228*$B$6)</f>
        <v>-7.9958300561580251E-3</v>
      </c>
    </row>
    <row r="229" spans="3:4" x14ac:dyDescent="0.35">
      <c r="C229" s="2">
        <f>'Log Returns'!A229</f>
        <v>44900</v>
      </c>
      <c r="D229" s="53">
        <f>('Log Returns'!B229*$B$2)+('Log Returns'!C229*$B$3)+('Log Returns'!D229*$B$4)+('Log Returns'!E229*$B$5)+('Log Returns'!F229*$B$6)</f>
        <v>-3.0791024121953128E-3</v>
      </c>
    </row>
    <row r="230" spans="3:4" x14ac:dyDescent="0.35">
      <c r="C230" s="2">
        <f>'Log Returns'!A230</f>
        <v>44901</v>
      </c>
      <c r="D230" s="53">
        <f>('Log Returns'!B230*$B$2)+('Log Returns'!C230*$B$3)+('Log Returns'!D230*$B$4)+('Log Returns'!E230*$B$5)+('Log Returns'!F230*$B$6)</f>
        <v>-7.1438082575685019E-3</v>
      </c>
    </row>
    <row r="231" spans="3:4" x14ac:dyDescent="0.35">
      <c r="C231" s="2">
        <f>'Log Returns'!A231</f>
        <v>44902</v>
      </c>
      <c r="D231" s="53">
        <f>('Log Returns'!B231*$B$2)+('Log Returns'!C231*$B$3)+('Log Returns'!D231*$B$4)+('Log Returns'!E231*$B$5)+('Log Returns'!F231*$B$6)</f>
        <v>-2.6245170551156432E-3</v>
      </c>
    </row>
    <row r="232" spans="3:4" x14ac:dyDescent="0.35">
      <c r="C232" s="2">
        <f>'Log Returns'!A232</f>
        <v>44903</v>
      </c>
      <c r="D232" s="53">
        <f>('Log Returns'!B232*$B$2)+('Log Returns'!C232*$B$3)+('Log Returns'!D232*$B$4)+('Log Returns'!E232*$B$5)+('Log Returns'!F232*$B$6)</f>
        <v>1.0373740824376845E-3</v>
      </c>
    </row>
    <row r="233" spans="3:4" x14ac:dyDescent="0.35">
      <c r="C233" s="2">
        <f>'Log Returns'!A233</f>
        <v>44904</v>
      </c>
      <c r="D233" s="53">
        <f>('Log Returns'!B233*$B$2)+('Log Returns'!C233*$B$3)+('Log Returns'!D233*$B$4)+('Log Returns'!E233*$B$5)+('Log Returns'!F233*$B$6)</f>
        <v>-1.1576182729727364E-2</v>
      </c>
    </row>
    <row r="234" spans="3:4" x14ac:dyDescent="0.35">
      <c r="C234" s="2">
        <f>'Log Returns'!A234</f>
        <v>44907</v>
      </c>
      <c r="D234" s="53">
        <f>('Log Returns'!B234*$B$2)+('Log Returns'!C234*$B$3)+('Log Returns'!D234*$B$4)+('Log Returns'!E234*$B$5)+('Log Returns'!F234*$B$6)</f>
        <v>-1.7765617417830266E-3</v>
      </c>
    </row>
    <row r="235" spans="3:4" x14ac:dyDescent="0.35">
      <c r="C235" s="2">
        <f>'Log Returns'!A235</f>
        <v>44908</v>
      </c>
      <c r="D235" s="53">
        <f>('Log Returns'!B235*$B$2)+('Log Returns'!C235*$B$3)+('Log Returns'!D235*$B$4)+('Log Returns'!E235*$B$5)+('Log Returns'!F235*$B$6)</f>
        <v>8.8265273952832686E-3</v>
      </c>
    </row>
    <row r="236" spans="3:4" x14ac:dyDescent="0.35">
      <c r="C236" s="2">
        <f>'Log Returns'!A236</f>
        <v>44909</v>
      </c>
      <c r="D236" s="53">
        <f>('Log Returns'!B236*$B$2)+('Log Returns'!C236*$B$3)+('Log Returns'!D236*$B$4)+('Log Returns'!E236*$B$5)+('Log Returns'!F236*$B$6)</f>
        <v>-3.4477121731184919E-4</v>
      </c>
    </row>
    <row r="237" spans="3:4" x14ac:dyDescent="0.35">
      <c r="C237" s="2">
        <f>'Log Returns'!A237</f>
        <v>44910</v>
      </c>
      <c r="D237" s="53">
        <f>('Log Returns'!B237*$B$2)+('Log Returns'!C237*$B$3)+('Log Returns'!D237*$B$4)+('Log Returns'!E237*$B$5)+('Log Returns'!F237*$B$6)</f>
        <v>-1.8125700713524557E-2</v>
      </c>
    </row>
    <row r="238" spans="3:4" x14ac:dyDescent="0.35">
      <c r="C238" s="2">
        <f>'Log Returns'!A238</f>
        <v>44911</v>
      </c>
      <c r="D238" s="53">
        <f>('Log Returns'!B238*$B$2)+('Log Returns'!C238*$B$3)+('Log Returns'!D238*$B$4)+('Log Returns'!E238*$B$5)+('Log Returns'!F238*$B$6)</f>
        <v>-1.1069190906067514E-2</v>
      </c>
    </row>
    <row r="239" spans="3:4" x14ac:dyDescent="0.35">
      <c r="C239" s="2">
        <f>'Log Returns'!A239</f>
        <v>44914</v>
      </c>
      <c r="D239" s="53">
        <f>('Log Returns'!B239*$B$2)+('Log Returns'!C239*$B$3)+('Log Returns'!D239*$B$4)+('Log Returns'!E239*$B$5)+('Log Returns'!F239*$B$6)</f>
        <v>-8.6452284179210359E-3</v>
      </c>
    </row>
    <row r="240" spans="3:4" x14ac:dyDescent="0.35">
      <c r="C240" s="2">
        <f>'Log Returns'!A240</f>
        <v>44915</v>
      </c>
      <c r="D240" s="53">
        <f>('Log Returns'!B240*$B$2)+('Log Returns'!C240*$B$3)+('Log Returns'!D240*$B$4)+('Log Returns'!E240*$B$5)+('Log Returns'!F240*$B$6)</f>
        <v>4.832508264683435E-3</v>
      </c>
    </row>
    <row r="241" spans="3:4" x14ac:dyDescent="0.35">
      <c r="C241" s="2">
        <f>'Log Returns'!A241</f>
        <v>44916</v>
      </c>
      <c r="D241" s="53">
        <f>('Log Returns'!B241*$B$2)+('Log Returns'!C241*$B$3)+('Log Returns'!D241*$B$4)+('Log Returns'!E241*$B$5)+('Log Returns'!F241*$B$6)</f>
        <v>-7.8969627505804559E-3</v>
      </c>
    </row>
    <row r="242" spans="3:4" x14ac:dyDescent="0.35">
      <c r="C242" s="2">
        <f>'Log Returns'!A242</f>
        <v>44917</v>
      </c>
      <c r="D242" s="53">
        <f>('Log Returns'!B242*$B$2)+('Log Returns'!C242*$B$3)+('Log Returns'!D242*$B$4)+('Log Returns'!E242*$B$5)+('Log Returns'!F242*$B$6)</f>
        <v>-1.3828365493440014E-3</v>
      </c>
    </row>
    <row r="243" spans="3:4" x14ac:dyDescent="0.35">
      <c r="C243" s="2">
        <f>'Log Returns'!A243</f>
        <v>44918</v>
      </c>
      <c r="D243" s="53">
        <f>('Log Returns'!B243*$B$2)+('Log Returns'!C243*$B$3)+('Log Returns'!D243*$B$4)+('Log Returns'!E243*$B$5)+('Log Returns'!F243*$B$6)</f>
        <v>-1.7340287351125319E-2</v>
      </c>
    </row>
    <row r="244" spans="3:4" x14ac:dyDescent="0.35">
      <c r="C244" s="2">
        <f>'Log Returns'!A244</f>
        <v>44921</v>
      </c>
      <c r="D244" s="53">
        <f>('Log Returns'!B244*$B$2)+('Log Returns'!C244*$B$3)+('Log Returns'!D244*$B$4)+('Log Returns'!E244*$B$5)+('Log Returns'!F244*$B$6)</f>
        <v>1.1968972296523096E-2</v>
      </c>
    </row>
    <row r="245" spans="3:4" x14ac:dyDescent="0.35">
      <c r="C245" s="2">
        <f>'Log Returns'!A245</f>
        <v>44922</v>
      </c>
      <c r="D245" s="53">
        <f>('Log Returns'!B245*$B$2)+('Log Returns'!C245*$B$3)+('Log Returns'!D245*$B$4)+('Log Returns'!E245*$B$5)+('Log Returns'!F245*$B$6)</f>
        <v>4.4732887896253275E-3</v>
      </c>
    </row>
    <row r="246" spans="3:4" x14ac:dyDescent="0.35">
      <c r="C246" s="2">
        <f>'Log Returns'!A246</f>
        <v>44923</v>
      </c>
      <c r="D246" s="53">
        <f>('Log Returns'!B246*$B$2)+('Log Returns'!C246*$B$3)+('Log Returns'!D246*$B$4)+('Log Returns'!E246*$B$5)+('Log Returns'!F246*$B$6)</f>
        <v>-4.131067169196596E-4</v>
      </c>
    </row>
    <row r="247" spans="3:4" x14ac:dyDescent="0.35">
      <c r="C247" s="2">
        <f>'Log Returns'!A247</f>
        <v>44924</v>
      </c>
      <c r="D247" s="53">
        <f>('Log Returns'!B247*$B$2)+('Log Returns'!C247*$B$3)+('Log Returns'!D247*$B$4)+('Log Returns'!E247*$B$5)+('Log Returns'!F247*$B$6)</f>
        <v>4.1818490414450016E-3</v>
      </c>
    </row>
    <row r="248" spans="3:4" x14ac:dyDescent="0.35">
      <c r="C248" s="2">
        <f>'Log Returns'!A248</f>
        <v>44925</v>
      </c>
      <c r="D248" s="53">
        <f>('Log Returns'!B248*$B$2)+('Log Returns'!C248*$B$3)+('Log Returns'!D248*$B$4)+('Log Returns'!E248*$B$5)+('Log Returns'!F248*$B$6)</f>
        <v>-7.7709640689340486E-3</v>
      </c>
    </row>
    <row r="249" spans="3:4" x14ac:dyDescent="0.35">
      <c r="C249" s="2">
        <f>'Log Returns'!A249</f>
        <v>44928</v>
      </c>
      <c r="D249" s="53">
        <f>('Log Returns'!B249*$B$2)+('Log Returns'!C249*$B$3)+('Log Returns'!D249*$B$4)+('Log Returns'!E249*$B$5)+('Log Returns'!F249*$B$6)</f>
        <v>7.9852263128127599E-3</v>
      </c>
    </row>
    <row r="250" spans="3:4" x14ac:dyDescent="0.35">
      <c r="C250" s="2">
        <f>'Log Returns'!A250</f>
        <v>44929</v>
      </c>
      <c r="D250" s="53">
        <f>('Log Returns'!B250*$B$2)+('Log Returns'!C250*$B$3)+('Log Returns'!D250*$B$4)+('Log Returns'!E250*$B$5)+('Log Returns'!F250*$B$6)</f>
        <v>8.2766431466581173E-5</v>
      </c>
    </row>
    <row r="251" spans="3:4" x14ac:dyDescent="0.35">
      <c r="C251" s="2">
        <f>'Log Returns'!A251</f>
        <v>44930</v>
      </c>
      <c r="D251" s="53">
        <f>('Log Returns'!B251*$B$2)+('Log Returns'!C251*$B$3)+('Log Returns'!D251*$B$4)+('Log Returns'!E251*$B$5)+('Log Returns'!F251*$B$6)</f>
        <v>-9.5103761087030926E-3</v>
      </c>
    </row>
    <row r="252" spans="3:4" x14ac:dyDescent="0.35">
      <c r="C252" s="2">
        <f>'Log Returns'!A252</f>
        <v>44931</v>
      </c>
      <c r="D252" s="53">
        <f>('Log Returns'!B252*$B$2)+('Log Returns'!C252*$B$3)+('Log Returns'!D252*$B$4)+('Log Returns'!E252*$B$5)+('Log Returns'!F252*$B$6)</f>
        <v>-3.7892811982743477E-3</v>
      </c>
    </row>
    <row r="253" spans="3:4" x14ac:dyDescent="0.35">
      <c r="C253" s="2">
        <f>'Log Returns'!A253</f>
        <v>44932</v>
      </c>
      <c r="D253" s="53">
        <f>('Log Returns'!B253*$B$2)+('Log Returns'!C253*$B$3)+('Log Returns'!D253*$B$4)+('Log Returns'!E253*$B$5)+('Log Returns'!F253*$B$6)</f>
        <v>-9.0638039922522444E-3</v>
      </c>
    </row>
    <row r="254" spans="3:4" x14ac:dyDescent="0.35">
      <c r="C254" s="2">
        <f>'Log Returns'!A254</f>
        <v>44935</v>
      </c>
      <c r="D254" s="53">
        <f>('Log Returns'!B254*$B$2)+('Log Returns'!C254*$B$3)+('Log Returns'!D254*$B$4)+('Log Returns'!E254*$B$5)+('Log Returns'!F254*$B$6)</f>
        <v>1.873811637325546E-2</v>
      </c>
    </row>
    <row r="255" spans="3:4" x14ac:dyDescent="0.35">
      <c r="C255" s="2">
        <f>'Log Returns'!A255</f>
        <v>44936</v>
      </c>
      <c r="D255" s="53">
        <f>('Log Returns'!B255*$B$2)+('Log Returns'!C255*$B$3)+('Log Returns'!D255*$B$4)+('Log Returns'!E255*$B$5)+('Log Returns'!F255*$B$6)</f>
        <v>-1.253739649388037E-2</v>
      </c>
    </row>
    <row r="256" spans="3:4" x14ac:dyDescent="0.35">
      <c r="C256" s="2">
        <f>'Log Returns'!A256</f>
        <v>44937</v>
      </c>
      <c r="D256" s="53">
        <f>('Log Returns'!B256*$B$2)+('Log Returns'!C256*$B$3)+('Log Returns'!D256*$B$4)+('Log Returns'!E256*$B$5)+('Log Returns'!F256*$B$6)</f>
        <v>4.0548345681912083E-4</v>
      </c>
    </row>
    <row r="257" spans="3:4" x14ac:dyDescent="0.35">
      <c r="C257" s="2">
        <f>'Log Returns'!A257</f>
        <v>44938</v>
      </c>
      <c r="D257" s="53">
        <f>('Log Returns'!B257*$B$2)+('Log Returns'!C257*$B$3)+('Log Returns'!D257*$B$4)+('Log Returns'!E257*$B$5)+('Log Returns'!F257*$B$6)</f>
        <v>-5.245546935595276E-3</v>
      </c>
    </row>
    <row r="258" spans="3:4" x14ac:dyDescent="0.35">
      <c r="C258" s="2">
        <f>'Log Returns'!A258</f>
        <v>44939</v>
      </c>
      <c r="D258" s="53">
        <f>('Log Returns'!B258*$B$2)+('Log Returns'!C258*$B$3)+('Log Returns'!D258*$B$4)+('Log Returns'!E258*$B$5)+('Log Returns'!F258*$B$6)</f>
        <v>7.4506755881513431E-3</v>
      </c>
    </row>
    <row r="259" spans="3:4" x14ac:dyDescent="0.35">
      <c r="C259" s="2">
        <f>'Log Returns'!A259</f>
        <v>44942</v>
      </c>
      <c r="D259" s="53">
        <f>('Log Returns'!B259*$B$2)+('Log Returns'!C259*$B$3)+('Log Returns'!D259*$B$4)+('Log Returns'!E259*$B$5)+('Log Returns'!F259*$B$6)</f>
        <v>1.558493607736842E-3</v>
      </c>
    </row>
    <row r="260" spans="3:4" x14ac:dyDescent="0.35">
      <c r="C260" s="2">
        <f>'Log Returns'!A260</f>
        <v>44943</v>
      </c>
      <c r="D260" s="53">
        <f>('Log Returns'!B260*$B$2)+('Log Returns'!C260*$B$3)+('Log Returns'!D260*$B$4)+('Log Returns'!E260*$B$5)+('Log Returns'!F260*$B$6)</f>
        <v>8.5056855291694381E-3</v>
      </c>
    </row>
    <row r="261" spans="3:4" x14ac:dyDescent="0.35">
      <c r="C261" s="2">
        <f>'Log Returns'!A261</f>
        <v>44944</v>
      </c>
      <c r="D261" s="53">
        <f>('Log Returns'!B261*$B$2)+('Log Returns'!C261*$B$3)+('Log Returns'!D261*$B$4)+('Log Returns'!E261*$B$5)+('Log Returns'!F261*$B$6)</f>
        <v>3.5581204983450073E-3</v>
      </c>
    </row>
    <row r="262" spans="3:4" x14ac:dyDescent="0.35">
      <c r="C262" s="2">
        <f>'Log Returns'!A262</f>
        <v>44945</v>
      </c>
      <c r="D262" s="53">
        <f>('Log Returns'!B262*$B$2)+('Log Returns'!C262*$B$3)+('Log Returns'!D262*$B$4)+('Log Returns'!E262*$B$5)+('Log Returns'!F262*$B$6)</f>
        <v>-4.3271213793046204E-3</v>
      </c>
    </row>
    <row r="263" spans="3:4" x14ac:dyDescent="0.35">
      <c r="C263" s="2">
        <f>'Log Returns'!A263</f>
        <v>44946</v>
      </c>
      <c r="D263" s="53">
        <f>('Log Returns'!B263*$B$2)+('Log Returns'!C263*$B$3)+('Log Returns'!D263*$B$4)+('Log Returns'!E263*$B$5)+('Log Returns'!F263*$B$6)</f>
        <v>-2.2890152949827706E-3</v>
      </c>
    </row>
    <row r="264" spans="3:4" x14ac:dyDescent="0.35">
      <c r="C264" s="2">
        <f>'Log Returns'!A264</f>
        <v>44949</v>
      </c>
      <c r="D264" s="53">
        <f>('Log Returns'!B264*$B$2)+('Log Returns'!C264*$B$3)+('Log Returns'!D264*$B$4)+('Log Returns'!E264*$B$5)+('Log Returns'!F264*$B$6)</f>
        <v>7.1466097525535186E-3</v>
      </c>
    </row>
    <row r="265" spans="3:4" x14ac:dyDescent="0.35">
      <c r="C265" s="2">
        <f>'Log Returns'!A265</f>
        <v>44950</v>
      </c>
      <c r="D265" s="53">
        <f>('Log Returns'!B265*$B$2)+('Log Returns'!C265*$B$3)+('Log Returns'!D265*$B$4)+('Log Returns'!E265*$B$5)+('Log Returns'!F265*$B$6)</f>
        <v>1.0614376673227953E-3</v>
      </c>
    </row>
    <row r="266" spans="3:4" x14ac:dyDescent="0.35">
      <c r="C266" s="2">
        <f>'Log Returns'!A266</f>
        <v>44951</v>
      </c>
      <c r="D266" s="53">
        <f>('Log Returns'!B266*$B$2)+('Log Returns'!C266*$B$3)+('Log Returns'!D266*$B$4)+('Log Returns'!E266*$B$5)+('Log Returns'!F266*$B$6)</f>
        <v>-7.7207723018864402E-3</v>
      </c>
    </row>
    <row r="267" spans="3:4" x14ac:dyDescent="0.35">
      <c r="C267" s="2">
        <f>'Log Returns'!A267</f>
        <v>44953</v>
      </c>
      <c r="D267" s="53">
        <f>('Log Returns'!B267*$B$2)+('Log Returns'!C267*$B$3)+('Log Returns'!D267*$B$4)+('Log Returns'!E267*$B$5)+('Log Returns'!F267*$B$6)</f>
        <v>-1.3210297022492507E-2</v>
      </c>
    </row>
    <row r="268" spans="3:4" x14ac:dyDescent="0.35">
      <c r="C268" s="2">
        <f>'Log Returns'!A268</f>
        <v>44956</v>
      </c>
      <c r="D268" s="53">
        <f>('Log Returns'!B268*$B$2)+('Log Returns'!C268*$B$3)+('Log Returns'!D268*$B$4)+('Log Returns'!E268*$B$5)+('Log Returns'!F268*$B$6)</f>
        <v>6.6387663269636748E-3</v>
      </c>
    </row>
    <row r="269" spans="3:4" x14ac:dyDescent="0.35">
      <c r="C269" s="2">
        <f>'Log Returns'!A269</f>
        <v>44957</v>
      </c>
      <c r="D269" s="53">
        <f>('Log Returns'!B269*$B$2)+('Log Returns'!C269*$B$3)+('Log Returns'!D269*$B$4)+('Log Returns'!E269*$B$5)+('Log Returns'!F269*$B$6)</f>
        <v>7.9066647185736805E-4</v>
      </c>
    </row>
    <row r="270" spans="3:4" x14ac:dyDescent="0.35">
      <c r="C270" s="2">
        <f>'Log Returns'!A270</f>
        <v>44958</v>
      </c>
      <c r="D270" s="53">
        <f>('Log Returns'!B270*$B$2)+('Log Returns'!C270*$B$3)+('Log Returns'!D270*$B$4)+('Log Returns'!E270*$B$5)+('Log Returns'!F270*$B$6)</f>
        <v>1.2890281442071612E-2</v>
      </c>
    </row>
    <row r="271" spans="3:4" x14ac:dyDescent="0.35">
      <c r="C271" s="2">
        <f>'Log Returns'!A271</f>
        <v>44959</v>
      </c>
      <c r="D271" s="53">
        <f>('Log Returns'!B271*$B$2)+('Log Returns'!C271*$B$3)+('Log Returns'!D271*$B$4)+('Log Returns'!E271*$B$5)+('Log Returns'!F271*$B$6)</f>
        <v>1.7718530696038182E-2</v>
      </c>
    </row>
    <row r="272" spans="3:4" x14ac:dyDescent="0.35">
      <c r="C272" s="2">
        <f>'Log Returns'!A272</f>
        <v>44960</v>
      </c>
      <c r="D272" s="53">
        <f>('Log Returns'!B272*$B$2)+('Log Returns'!C272*$B$3)+('Log Returns'!D272*$B$4)+('Log Returns'!E272*$B$5)+('Log Returns'!F272*$B$6)</f>
        <v>5.8507462037771484E-3</v>
      </c>
    </row>
    <row r="273" spans="3:4" x14ac:dyDescent="0.35">
      <c r="C273" s="2">
        <f>'Log Returns'!A273</f>
        <v>44963</v>
      </c>
      <c r="D273" s="53">
        <f>('Log Returns'!B273*$B$2)+('Log Returns'!C273*$B$3)+('Log Returns'!D273*$B$4)+('Log Returns'!E273*$B$5)+('Log Returns'!F273*$B$6)</f>
        <v>-7.440042676330358E-3</v>
      </c>
    </row>
    <row r="274" spans="3:4" x14ac:dyDescent="0.35">
      <c r="C274" s="2">
        <f>'Log Returns'!A274</f>
        <v>44964</v>
      </c>
      <c r="D274" s="53">
        <f>('Log Returns'!B274*$B$2)+('Log Returns'!C274*$B$3)+('Log Returns'!D274*$B$4)+('Log Returns'!E274*$B$5)+('Log Returns'!F274*$B$6)</f>
        <v>-6.2925704216892026E-3</v>
      </c>
    </row>
    <row r="275" spans="3:4" x14ac:dyDescent="0.35">
      <c r="C275" s="2">
        <f>'Log Returns'!A275</f>
        <v>44965</v>
      </c>
      <c r="D275" s="53">
        <f>('Log Returns'!B275*$B$2)+('Log Returns'!C275*$B$3)+('Log Returns'!D275*$B$4)+('Log Returns'!E275*$B$5)+('Log Returns'!F275*$B$6)</f>
        <v>1.2951095349784834E-2</v>
      </c>
    </row>
    <row r="276" spans="3:4" x14ac:dyDescent="0.35">
      <c r="C276" s="2">
        <f>'Log Returns'!A276</f>
        <v>44966</v>
      </c>
      <c r="D276" s="53">
        <f>('Log Returns'!B276*$B$2)+('Log Returns'!C276*$B$3)+('Log Returns'!D276*$B$4)+('Log Returns'!E276*$B$5)+('Log Returns'!F276*$B$6)</f>
        <v>4.5317335194173308E-3</v>
      </c>
    </row>
    <row r="277" spans="3:4" x14ac:dyDescent="0.35">
      <c r="C277" s="2">
        <f>'Log Returns'!A277</f>
        <v>44967</v>
      </c>
      <c r="D277" s="53">
        <f>('Log Returns'!B277*$B$2)+('Log Returns'!C277*$B$3)+('Log Returns'!D277*$B$4)+('Log Returns'!E277*$B$5)+('Log Returns'!F277*$B$6)</f>
        <v>-6.0671648957093052E-3</v>
      </c>
    </row>
    <row r="278" spans="3:4" x14ac:dyDescent="0.35">
      <c r="C278" s="2">
        <f>'Log Returns'!A278</f>
        <v>44970</v>
      </c>
      <c r="D278" s="53">
        <f>('Log Returns'!B278*$B$2)+('Log Returns'!C278*$B$3)+('Log Returns'!D278*$B$4)+('Log Returns'!E278*$B$5)+('Log Returns'!F278*$B$6)</f>
        <v>-8.6813431962485844E-3</v>
      </c>
    </row>
    <row r="279" spans="3:4" x14ac:dyDescent="0.35">
      <c r="C279" s="2">
        <f>'Log Returns'!A279</f>
        <v>44971</v>
      </c>
      <c r="D279" s="53">
        <f>('Log Returns'!B279*$B$2)+('Log Returns'!C279*$B$3)+('Log Returns'!D279*$B$4)+('Log Returns'!E279*$B$5)+('Log Returns'!F279*$B$6)</f>
        <v>1.8795176667714984E-2</v>
      </c>
    </row>
    <row r="280" spans="3:4" x14ac:dyDescent="0.35">
      <c r="C280" s="2">
        <f>'Log Returns'!A280</f>
        <v>44972</v>
      </c>
      <c r="D280" s="53">
        <f>('Log Returns'!B280*$B$2)+('Log Returns'!C280*$B$3)+('Log Returns'!D280*$B$4)+('Log Returns'!E280*$B$5)+('Log Returns'!F280*$B$6)</f>
        <v>5.1779637404356154E-3</v>
      </c>
    </row>
    <row r="281" spans="3:4" x14ac:dyDescent="0.35">
      <c r="C281" s="2">
        <f>'Log Returns'!A281</f>
        <v>44973</v>
      </c>
      <c r="D281" s="53">
        <f>('Log Returns'!B281*$B$2)+('Log Returns'!C281*$B$3)+('Log Returns'!D281*$B$4)+('Log Returns'!E281*$B$5)+('Log Returns'!F281*$B$6)</f>
        <v>2.4244963420205143E-3</v>
      </c>
    </row>
    <row r="282" spans="3:4" x14ac:dyDescent="0.35">
      <c r="C282" s="2">
        <f>'Log Returns'!A282</f>
        <v>44974</v>
      </c>
      <c r="D282" s="53">
        <f>('Log Returns'!B282*$B$2)+('Log Returns'!C282*$B$3)+('Log Returns'!D282*$B$4)+('Log Returns'!E282*$B$5)+('Log Returns'!F282*$B$6)</f>
        <v>-5.7765841039752203E-3</v>
      </c>
    </row>
    <row r="283" spans="3:4" x14ac:dyDescent="0.35">
      <c r="C283" s="2">
        <f>'Log Returns'!A283</f>
        <v>44977</v>
      </c>
      <c r="D283" s="53">
        <f>('Log Returns'!B283*$B$2)+('Log Returns'!C283*$B$3)+('Log Returns'!D283*$B$4)+('Log Returns'!E283*$B$5)+('Log Returns'!F283*$B$6)</f>
        <v>-3.95043843464508E-3</v>
      </c>
    </row>
    <row r="284" spans="3:4" x14ac:dyDescent="0.35">
      <c r="C284" s="2">
        <f>'Log Returns'!A284</f>
        <v>44978</v>
      </c>
      <c r="D284" s="53">
        <f>('Log Returns'!B284*$B$2)+('Log Returns'!C284*$B$3)+('Log Returns'!D284*$B$4)+('Log Returns'!E284*$B$5)+('Log Returns'!F284*$B$6)</f>
        <v>-2.5477225803933754E-3</v>
      </c>
    </row>
    <row r="285" spans="3:4" x14ac:dyDescent="0.35">
      <c r="C285" s="2">
        <f>'Log Returns'!A285</f>
        <v>44979</v>
      </c>
      <c r="D285" s="53">
        <f>('Log Returns'!B285*$B$2)+('Log Returns'!C285*$B$3)+('Log Returns'!D285*$B$4)+('Log Returns'!E285*$B$5)+('Log Returns'!F285*$B$6)</f>
        <v>-1.2426922458096566E-2</v>
      </c>
    </row>
    <row r="286" spans="3:4" x14ac:dyDescent="0.35">
      <c r="C286" s="2">
        <f>'Log Returns'!A286</f>
        <v>44980</v>
      </c>
      <c r="D286" s="53">
        <f>('Log Returns'!B286*$B$2)+('Log Returns'!C286*$B$3)+('Log Returns'!D286*$B$4)+('Log Returns'!E286*$B$5)+('Log Returns'!F286*$B$6)</f>
        <v>3.9854711012739198E-4</v>
      </c>
    </row>
    <row r="287" spans="3:4" x14ac:dyDescent="0.35">
      <c r="C287" s="2">
        <f>'Log Returns'!A287</f>
        <v>44981</v>
      </c>
      <c r="D287" s="53">
        <f>('Log Returns'!B287*$B$2)+('Log Returns'!C287*$B$3)+('Log Returns'!D287*$B$4)+('Log Returns'!E287*$B$5)+('Log Returns'!F287*$B$6)</f>
        <v>-7.3280718948378026E-4</v>
      </c>
    </row>
    <row r="288" spans="3:4" x14ac:dyDescent="0.35">
      <c r="C288" s="2">
        <f>'Log Returns'!A288</f>
        <v>44984</v>
      </c>
      <c r="D288" s="53">
        <f>('Log Returns'!B288*$B$2)+('Log Returns'!C288*$B$3)+('Log Returns'!D288*$B$4)+('Log Returns'!E288*$B$5)+('Log Returns'!F288*$B$6)</f>
        <v>-8.3907840890107555E-3</v>
      </c>
    </row>
    <row r="289" spans="3:4" x14ac:dyDescent="0.35">
      <c r="C289" s="2">
        <f>'Log Returns'!A289</f>
        <v>44985</v>
      </c>
      <c r="D289" s="53">
        <f>('Log Returns'!B289*$B$2)+('Log Returns'!C289*$B$3)+('Log Returns'!D289*$B$4)+('Log Returns'!E289*$B$5)+('Log Returns'!F289*$B$6)</f>
        <v>-1.117225840165151E-2</v>
      </c>
    </row>
    <row r="290" spans="3:4" x14ac:dyDescent="0.35">
      <c r="C290" s="2">
        <f>'Log Returns'!A290</f>
        <v>44986</v>
      </c>
      <c r="D290" s="53">
        <f>('Log Returns'!B290*$B$2)+('Log Returns'!C290*$B$3)+('Log Returns'!D290*$B$4)+('Log Returns'!E290*$B$5)+('Log Returns'!F290*$B$6)</f>
        <v>8.7202001651914655E-3</v>
      </c>
    </row>
    <row r="291" spans="3:4" x14ac:dyDescent="0.35">
      <c r="C291" s="2">
        <f>'Log Returns'!A291</f>
        <v>44987</v>
      </c>
      <c r="D291" s="53">
        <f>('Log Returns'!B291*$B$2)+('Log Returns'!C291*$B$3)+('Log Returns'!D291*$B$4)+('Log Returns'!E291*$B$5)+('Log Returns'!F291*$B$6)</f>
        <v>-1.0790865578673182E-2</v>
      </c>
    </row>
    <row r="292" spans="3:4" x14ac:dyDescent="0.35">
      <c r="C292" s="2">
        <f>'Log Returns'!A292</f>
        <v>44988</v>
      </c>
      <c r="D292" s="53">
        <f>('Log Returns'!B292*$B$2)+('Log Returns'!C292*$B$3)+('Log Returns'!D292*$B$4)+('Log Returns'!E292*$B$5)+('Log Returns'!F292*$B$6)</f>
        <v>1.5575089001147395E-2</v>
      </c>
    </row>
    <row r="293" spans="3:4" x14ac:dyDescent="0.35">
      <c r="C293" s="2">
        <f>'Log Returns'!A293</f>
        <v>44991</v>
      </c>
      <c r="D293" s="53">
        <f>('Log Returns'!B293*$B$2)+('Log Returns'!C293*$B$3)+('Log Returns'!D293*$B$4)+('Log Returns'!E293*$B$5)+('Log Returns'!F293*$B$6)</f>
        <v>8.9558507031796374E-3</v>
      </c>
    </row>
    <row r="294" spans="3:4" x14ac:dyDescent="0.35">
      <c r="C294" s="2">
        <f>'Log Returns'!A294</f>
        <v>44993</v>
      </c>
      <c r="D294" s="53">
        <f>('Log Returns'!B294*$B$2)+('Log Returns'!C294*$B$3)+('Log Returns'!D294*$B$4)+('Log Returns'!E294*$B$5)+('Log Returns'!F294*$B$6)</f>
        <v>3.0224668214293444E-3</v>
      </c>
    </row>
    <row r="295" spans="3:4" x14ac:dyDescent="0.35">
      <c r="C295" s="2">
        <f>'Log Returns'!A295</f>
        <v>44994</v>
      </c>
      <c r="D295" s="53">
        <f>('Log Returns'!B295*$B$2)+('Log Returns'!C295*$B$3)+('Log Returns'!D295*$B$4)+('Log Returns'!E295*$B$5)+('Log Returns'!F295*$B$6)</f>
        <v>-1.595874337290798E-2</v>
      </c>
    </row>
    <row r="296" spans="3:4" x14ac:dyDescent="0.35">
      <c r="C296" s="2">
        <f>'Log Returns'!A296</f>
        <v>44995</v>
      </c>
      <c r="D296" s="53">
        <f>('Log Returns'!B296*$B$2)+('Log Returns'!C296*$B$3)+('Log Returns'!D296*$B$4)+('Log Returns'!E296*$B$5)+('Log Returns'!F296*$B$6)</f>
        <v>-7.5411357511938467E-3</v>
      </c>
    </row>
    <row r="297" spans="3:4" x14ac:dyDescent="0.35">
      <c r="C297" s="2">
        <f>'Log Returns'!A297</f>
        <v>44998</v>
      </c>
      <c r="D297" s="53">
        <f>('Log Returns'!B297*$B$2)+('Log Returns'!C297*$B$3)+('Log Returns'!D297*$B$4)+('Log Returns'!E297*$B$5)+('Log Returns'!F297*$B$6)</f>
        <v>-1.6965542478716122E-2</v>
      </c>
    </row>
    <row r="298" spans="3:4" x14ac:dyDescent="0.35">
      <c r="C298" s="2">
        <f>'Log Returns'!A298</f>
        <v>44999</v>
      </c>
      <c r="D298" s="53">
        <f>('Log Returns'!B298*$B$2)+('Log Returns'!C298*$B$3)+('Log Returns'!D298*$B$4)+('Log Returns'!E298*$B$5)+('Log Returns'!F298*$B$6)</f>
        <v>-8.5940487254909624E-3</v>
      </c>
    </row>
    <row r="299" spans="3:4" x14ac:dyDescent="0.35">
      <c r="C299" s="2">
        <f>'Log Returns'!A299</f>
        <v>45000</v>
      </c>
      <c r="D299" s="53">
        <f>('Log Returns'!B299*$B$2)+('Log Returns'!C299*$B$3)+('Log Returns'!D299*$B$4)+('Log Returns'!E299*$B$5)+('Log Returns'!F299*$B$6)</f>
        <v>-5.7301376254888167E-3</v>
      </c>
    </row>
    <row r="300" spans="3:4" x14ac:dyDescent="0.35">
      <c r="C300" s="2">
        <f>'Log Returns'!A300</f>
        <v>45001</v>
      </c>
      <c r="D300" s="53">
        <f>('Log Returns'!B300*$B$2)+('Log Returns'!C300*$B$3)+('Log Returns'!D300*$B$4)+('Log Returns'!E300*$B$5)+('Log Returns'!F300*$B$6)</f>
        <v>-3.4783917029618874E-3</v>
      </c>
    </row>
    <row r="301" spans="3:4" x14ac:dyDescent="0.35">
      <c r="C301" s="2">
        <f>'Log Returns'!A301</f>
        <v>45002</v>
      </c>
      <c r="D301" s="53">
        <f>('Log Returns'!B301*$B$2)+('Log Returns'!C301*$B$3)+('Log Returns'!D301*$B$4)+('Log Returns'!E301*$B$5)+('Log Returns'!F301*$B$6)</f>
        <v>1.5980627950379044E-3</v>
      </c>
    </row>
    <row r="302" spans="3:4" x14ac:dyDescent="0.35">
      <c r="C302" s="2">
        <f>'Log Returns'!A302</f>
        <v>45005</v>
      </c>
      <c r="D302" s="53">
        <f>('Log Returns'!B302*$B$2)+('Log Returns'!C302*$B$3)+('Log Returns'!D302*$B$4)+('Log Returns'!E302*$B$5)+('Log Returns'!F302*$B$6)</f>
        <v>-4.8956858277134181E-3</v>
      </c>
    </row>
    <row r="303" spans="3:4" x14ac:dyDescent="0.35">
      <c r="C303" s="2">
        <f>'Log Returns'!A303</f>
        <v>45006</v>
      </c>
      <c r="D303" s="53">
        <f>('Log Returns'!B303*$B$2)+('Log Returns'!C303*$B$3)+('Log Returns'!D303*$B$4)+('Log Returns'!E303*$B$5)+('Log Returns'!F303*$B$6)</f>
        <v>4.6886865827787125E-3</v>
      </c>
    </row>
    <row r="304" spans="3:4" x14ac:dyDescent="0.35">
      <c r="C304" s="2">
        <f>'Log Returns'!A304</f>
        <v>45007</v>
      </c>
      <c r="D304" s="53">
        <f>('Log Returns'!B304*$B$2)+('Log Returns'!C304*$B$3)+('Log Returns'!D304*$B$4)+('Log Returns'!E304*$B$5)+('Log Returns'!F304*$B$6)</f>
        <v>4.227769178033268E-3</v>
      </c>
    </row>
    <row r="305" spans="3:4" x14ac:dyDescent="0.35">
      <c r="C305" s="2">
        <f>'Log Returns'!A305</f>
        <v>45008</v>
      </c>
      <c r="D305" s="53">
        <f>('Log Returns'!B305*$B$2)+('Log Returns'!C305*$B$3)+('Log Returns'!D305*$B$4)+('Log Returns'!E305*$B$5)+('Log Returns'!F305*$B$6)</f>
        <v>-4.6487559439296446E-3</v>
      </c>
    </row>
    <row r="306" spans="3:4" x14ac:dyDescent="0.35">
      <c r="C306" s="2">
        <f>'Log Returns'!A306</f>
        <v>45009</v>
      </c>
      <c r="D306" s="53">
        <f>('Log Returns'!B306*$B$2)+('Log Returns'!C306*$B$3)+('Log Returns'!D306*$B$4)+('Log Returns'!E306*$B$5)+('Log Returns'!F306*$B$6)</f>
        <v>-5.1198166836444268E-3</v>
      </c>
    </row>
    <row r="307" spans="3:4" x14ac:dyDescent="0.35">
      <c r="C307" s="2">
        <f>'Log Returns'!A307</f>
        <v>45012</v>
      </c>
      <c r="D307" s="53">
        <f>('Log Returns'!B307*$B$2)+('Log Returns'!C307*$B$3)+('Log Returns'!D307*$B$4)+('Log Returns'!E307*$B$5)+('Log Returns'!F307*$B$6)</f>
        <v>4.3209512859138551E-3</v>
      </c>
    </row>
    <row r="308" spans="3:4" x14ac:dyDescent="0.35">
      <c r="C308" s="2">
        <f>'Log Returns'!A308</f>
        <v>45013</v>
      </c>
      <c r="D308" s="53">
        <f>('Log Returns'!B308*$B$2)+('Log Returns'!C308*$B$3)+('Log Returns'!D308*$B$4)+('Log Returns'!E308*$B$5)+('Log Returns'!F308*$B$6)</f>
        <v>6.4805897264437907E-5</v>
      </c>
    </row>
    <row r="309" spans="3:4" x14ac:dyDescent="0.35">
      <c r="C309" s="2">
        <f>'Log Returns'!A309</f>
        <v>45014</v>
      </c>
      <c r="D309" s="53">
        <f>('Log Returns'!B309*$B$2)+('Log Returns'!C309*$B$3)+('Log Returns'!D309*$B$4)+('Log Returns'!E309*$B$5)+('Log Returns'!F309*$B$6)</f>
        <v>1.8417375960220108E-3</v>
      </c>
    </row>
    <row r="310" spans="3:4" x14ac:dyDescent="0.35">
      <c r="C310" s="2">
        <f>'Log Returns'!A310</f>
        <v>45016</v>
      </c>
      <c r="D310" s="53">
        <f>('Log Returns'!B310*$B$2)+('Log Returns'!C310*$B$3)+('Log Returns'!D310*$B$4)+('Log Returns'!E310*$B$5)+('Log Returns'!F310*$B$6)</f>
        <v>2.5452640744363285E-2</v>
      </c>
    </row>
    <row r="311" spans="3:4" x14ac:dyDescent="0.35">
      <c r="C311" s="2">
        <f>'Log Returns'!A311</f>
        <v>45019</v>
      </c>
      <c r="D311" s="53">
        <f>('Log Returns'!B311*$B$2)+('Log Returns'!C311*$B$3)+('Log Returns'!D311*$B$4)+('Log Returns'!E311*$B$5)+('Log Returns'!F311*$B$6)</f>
        <v>-3.673008723076048E-3</v>
      </c>
    </row>
    <row r="312" spans="3:4" x14ac:dyDescent="0.35">
      <c r="C312" s="2">
        <f>'Log Returns'!A312</f>
        <v>45021</v>
      </c>
      <c r="D312" s="53">
        <f>('Log Returns'!B312*$B$2)+('Log Returns'!C312*$B$3)+('Log Returns'!D312*$B$4)+('Log Returns'!E312*$B$5)+('Log Returns'!F312*$B$6)</f>
        <v>7.8844367814093902E-3</v>
      </c>
    </row>
    <row r="313" spans="3:4" x14ac:dyDescent="0.35">
      <c r="C313" s="2">
        <f>'Log Returns'!A313</f>
        <v>45022</v>
      </c>
      <c r="D313" s="53">
        <f>('Log Returns'!B313*$B$2)+('Log Returns'!C313*$B$3)+('Log Returns'!D313*$B$4)+('Log Returns'!E313*$B$5)+('Log Returns'!F313*$B$6)</f>
        <v>-1.7705552390262719E-3</v>
      </c>
    </row>
    <row r="314" spans="3:4" x14ac:dyDescent="0.35">
      <c r="C314" s="2">
        <f>'Log Returns'!A314</f>
        <v>45026</v>
      </c>
      <c r="D314" s="53">
        <f>('Log Returns'!B314*$B$2)+('Log Returns'!C314*$B$3)+('Log Returns'!D314*$B$4)+('Log Returns'!E314*$B$5)+('Log Returns'!F314*$B$6)</f>
        <v>1.1292296825572686E-3</v>
      </c>
    </row>
    <row r="315" spans="3:4" x14ac:dyDescent="0.35">
      <c r="C315" s="2">
        <f>'Log Returns'!A315</f>
        <v>45027</v>
      </c>
      <c r="D315" s="53">
        <f>('Log Returns'!B315*$B$2)+('Log Returns'!C315*$B$3)+('Log Returns'!D315*$B$4)+('Log Returns'!E315*$B$5)+('Log Returns'!F315*$B$6)</f>
        <v>1.7710315154476435E-3</v>
      </c>
    </row>
    <row r="316" spans="3:4" x14ac:dyDescent="0.35">
      <c r="C316" s="2">
        <f>'Log Returns'!A316</f>
        <v>45028</v>
      </c>
      <c r="D316" s="53">
        <f>('Log Returns'!B316*$B$2)+('Log Returns'!C316*$B$3)+('Log Returns'!D316*$B$4)+('Log Returns'!E316*$B$5)+('Log Returns'!F316*$B$6)</f>
        <v>6.3483721354236312E-3</v>
      </c>
    </row>
    <row r="317" spans="3:4" x14ac:dyDescent="0.35">
      <c r="C317" s="2">
        <f>'Log Returns'!A317</f>
        <v>45029</v>
      </c>
      <c r="D317" s="53">
        <f>('Log Returns'!B317*$B$2)+('Log Returns'!C317*$B$3)+('Log Returns'!D317*$B$4)+('Log Returns'!E317*$B$5)+('Log Returns'!F317*$B$6)</f>
        <v>-5.0634298899330746E-3</v>
      </c>
    </row>
    <row r="318" spans="3:4" x14ac:dyDescent="0.35">
      <c r="C318" s="2">
        <f>'Log Returns'!A318</f>
        <v>45033</v>
      </c>
      <c r="D318" s="53">
        <f>('Log Returns'!B318*$B$2)+('Log Returns'!C318*$B$3)+('Log Returns'!D318*$B$4)+('Log Returns'!E318*$B$5)+('Log Returns'!F318*$B$6)</f>
        <v>-1.9100605628077701E-2</v>
      </c>
    </row>
    <row r="319" spans="3:4" x14ac:dyDescent="0.35">
      <c r="C319" s="2">
        <f>'Log Returns'!A319</f>
        <v>45034</v>
      </c>
      <c r="D319" s="53">
        <f>('Log Returns'!B319*$B$2)+('Log Returns'!C319*$B$3)+('Log Returns'!D319*$B$4)+('Log Returns'!E319*$B$5)+('Log Returns'!F319*$B$6)</f>
        <v>-4.5118037638146088E-3</v>
      </c>
    </row>
    <row r="320" spans="3:4" x14ac:dyDescent="0.35">
      <c r="C320" s="2">
        <f>'Log Returns'!A320</f>
        <v>45035</v>
      </c>
      <c r="D320" s="53">
        <f>('Log Returns'!B320*$B$2)+('Log Returns'!C320*$B$3)+('Log Returns'!D320*$B$4)+('Log Returns'!E320*$B$5)+('Log Returns'!F320*$B$6)</f>
        <v>-6.994564750459494E-3</v>
      </c>
    </row>
    <row r="321" spans="3:4" x14ac:dyDescent="0.35">
      <c r="C321" s="2">
        <f>'Log Returns'!A321</f>
        <v>45036</v>
      </c>
      <c r="D321" s="53">
        <f>('Log Returns'!B321*$B$2)+('Log Returns'!C321*$B$3)+('Log Returns'!D321*$B$4)+('Log Returns'!E321*$B$5)+('Log Returns'!F321*$B$6)</f>
        <v>3.7727956265226203E-4</v>
      </c>
    </row>
    <row r="322" spans="3:4" x14ac:dyDescent="0.35">
      <c r="C322" s="2">
        <f>'Log Returns'!A322</f>
        <v>45037</v>
      </c>
      <c r="D322" s="53">
        <f>('Log Returns'!B322*$B$2)+('Log Returns'!C322*$B$3)+('Log Returns'!D322*$B$4)+('Log Returns'!E322*$B$5)+('Log Returns'!F322*$B$6)</f>
        <v>6.4443706928534548E-3</v>
      </c>
    </row>
    <row r="323" spans="3:4" x14ac:dyDescent="0.35">
      <c r="C323" s="2">
        <f>'Log Returns'!A323</f>
        <v>45040</v>
      </c>
      <c r="D323" s="53">
        <f>('Log Returns'!B323*$B$2)+('Log Returns'!C323*$B$3)+('Log Returns'!D323*$B$4)+('Log Returns'!E323*$B$5)+('Log Returns'!F323*$B$6)</f>
        <v>5.9622743316310395E-3</v>
      </c>
    </row>
    <row r="324" spans="3:4" x14ac:dyDescent="0.35">
      <c r="C324" s="2">
        <f>'Log Returns'!A324</f>
        <v>45041</v>
      </c>
      <c r="D324" s="53">
        <f>('Log Returns'!B324*$B$2)+('Log Returns'!C324*$B$3)+('Log Returns'!D324*$B$4)+('Log Returns'!E324*$B$5)+('Log Returns'!F324*$B$6)</f>
        <v>4.6756865844506399E-3</v>
      </c>
    </row>
    <row r="325" spans="3:4" x14ac:dyDescent="0.35">
      <c r="C325" s="2">
        <f>'Log Returns'!A325</f>
        <v>45042</v>
      </c>
      <c r="D325" s="53">
        <f>('Log Returns'!B325*$B$2)+('Log Returns'!C325*$B$3)+('Log Returns'!D325*$B$4)+('Log Returns'!E325*$B$5)+('Log Returns'!F325*$B$6)</f>
        <v>1.3132564033073969E-3</v>
      </c>
    </row>
    <row r="326" spans="3:4" x14ac:dyDescent="0.35">
      <c r="C326" s="2">
        <f>'Log Returns'!A326</f>
        <v>45043</v>
      </c>
      <c r="D326" s="53">
        <f>('Log Returns'!B326*$B$2)+('Log Returns'!C326*$B$3)+('Log Returns'!D326*$B$4)+('Log Returns'!E326*$B$5)+('Log Returns'!F326*$B$6)</f>
        <v>6.1963860785524318E-3</v>
      </c>
    </row>
    <row r="327" spans="3:4" x14ac:dyDescent="0.35">
      <c r="C327" s="2">
        <f>'Log Returns'!A327</f>
        <v>45044</v>
      </c>
      <c r="D327" s="53">
        <f>('Log Returns'!B327*$B$2)+('Log Returns'!C327*$B$3)+('Log Returns'!D327*$B$4)+('Log Returns'!E327*$B$5)+('Log Returns'!F327*$B$6)</f>
        <v>1.1004976818895576E-2</v>
      </c>
    </row>
    <row r="328" spans="3:4" x14ac:dyDescent="0.35">
      <c r="C328" s="2">
        <f>'Log Returns'!A328</f>
        <v>45048</v>
      </c>
      <c r="D328" s="53">
        <f>('Log Returns'!B328*$B$2)+('Log Returns'!C328*$B$3)+('Log Returns'!D328*$B$4)+('Log Returns'!E328*$B$5)+('Log Returns'!F328*$B$6)</f>
        <v>6.0554017355166842E-3</v>
      </c>
    </row>
    <row r="329" spans="3:4" x14ac:dyDescent="0.35">
      <c r="C329" s="2">
        <f>'Log Returns'!A329</f>
        <v>45049</v>
      </c>
      <c r="D329" s="53">
        <f>('Log Returns'!B329*$B$2)+('Log Returns'!C329*$B$3)+('Log Returns'!D329*$B$4)+('Log Returns'!E329*$B$5)+('Log Returns'!F329*$B$6)</f>
        <v>-4.0697446146648018E-3</v>
      </c>
    </row>
    <row r="330" spans="3:4" x14ac:dyDescent="0.35">
      <c r="C330" s="2">
        <f>'Log Returns'!A330</f>
        <v>45050</v>
      </c>
      <c r="D330" s="53">
        <f>('Log Returns'!B330*$B$2)+('Log Returns'!C330*$B$3)+('Log Returns'!D330*$B$4)+('Log Returns'!E330*$B$5)+('Log Returns'!F330*$B$6)</f>
        <v>4.091970050173744E-3</v>
      </c>
    </row>
    <row r="331" spans="3:4" x14ac:dyDescent="0.35">
      <c r="C331" s="2">
        <f>'Log Returns'!A331</f>
        <v>45051</v>
      </c>
      <c r="D331" s="53">
        <f>('Log Returns'!B331*$B$2)+('Log Returns'!C331*$B$3)+('Log Returns'!D331*$B$4)+('Log Returns'!E331*$B$5)+('Log Returns'!F331*$B$6)</f>
        <v>9.0588904695124714E-4</v>
      </c>
    </row>
    <row r="332" spans="3:4" x14ac:dyDescent="0.35">
      <c r="C332" s="2">
        <f>'Log Returns'!A332</f>
        <v>45054</v>
      </c>
      <c r="D332" s="53">
        <f>('Log Returns'!B332*$B$2)+('Log Returns'!C332*$B$3)+('Log Returns'!D332*$B$4)+('Log Returns'!E332*$B$5)+('Log Returns'!F332*$B$6)</f>
        <v>8.3192139299372789E-3</v>
      </c>
    </row>
    <row r="333" spans="3:4" x14ac:dyDescent="0.35">
      <c r="C333" s="2">
        <f>'Log Returns'!A333</f>
        <v>45055</v>
      </c>
      <c r="D333" s="53">
        <f>('Log Returns'!B333*$B$2)+('Log Returns'!C333*$B$3)+('Log Returns'!D333*$B$4)+('Log Returns'!E333*$B$5)+('Log Returns'!F333*$B$6)</f>
        <v>-9.0888087156128705E-4</v>
      </c>
    </row>
    <row r="334" spans="3:4" x14ac:dyDescent="0.35">
      <c r="C334" s="2">
        <f>'Log Returns'!A334</f>
        <v>45056</v>
      </c>
      <c r="D334" s="53">
        <f>('Log Returns'!B334*$B$2)+('Log Returns'!C334*$B$3)+('Log Returns'!D334*$B$4)+('Log Returns'!E334*$B$5)+('Log Returns'!F334*$B$6)</f>
        <v>1.4945707777808009E-3</v>
      </c>
    </row>
    <row r="335" spans="3:4" x14ac:dyDescent="0.35">
      <c r="C335" s="2">
        <f>'Log Returns'!A335</f>
        <v>45057</v>
      </c>
      <c r="D335" s="53">
        <f>('Log Returns'!B335*$B$2)+('Log Returns'!C335*$B$3)+('Log Returns'!D335*$B$4)+('Log Returns'!E335*$B$5)+('Log Returns'!F335*$B$6)</f>
        <v>-4.3958725215866284E-3</v>
      </c>
    </row>
    <row r="336" spans="3:4" x14ac:dyDescent="0.35">
      <c r="C336" s="2">
        <f>'Log Returns'!A336</f>
        <v>45058</v>
      </c>
      <c r="D336" s="53">
        <f>('Log Returns'!B336*$B$2)+('Log Returns'!C336*$B$3)+('Log Returns'!D336*$B$4)+('Log Returns'!E336*$B$5)+('Log Returns'!F336*$B$6)</f>
        <v>-8.7172414488676778E-4</v>
      </c>
    </row>
    <row r="337" spans="3:4" x14ac:dyDescent="0.35">
      <c r="C337" s="2">
        <f>'Log Returns'!A337</f>
        <v>45061</v>
      </c>
      <c r="D337" s="53">
        <f>('Log Returns'!B337*$B$2)+('Log Returns'!C337*$B$3)+('Log Returns'!D337*$B$4)+('Log Returns'!E337*$B$5)+('Log Returns'!F337*$B$6)</f>
        <v>5.1730459996660724E-3</v>
      </c>
    </row>
    <row r="338" spans="3:4" x14ac:dyDescent="0.35">
      <c r="C338" s="2">
        <f>'Log Returns'!A338</f>
        <v>45062</v>
      </c>
      <c r="D338" s="53">
        <f>('Log Returns'!B338*$B$2)+('Log Returns'!C338*$B$3)+('Log Returns'!D338*$B$4)+('Log Returns'!E338*$B$5)+('Log Returns'!F338*$B$6)</f>
        <v>-3.4172562594650627E-3</v>
      </c>
    </row>
    <row r="339" spans="3:4" x14ac:dyDescent="0.35">
      <c r="C339" s="2">
        <f>'Log Returns'!A339</f>
        <v>45063</v>
      </c>
      <c r="D339" s="53">
        <f>('Log Returns'!B339*$B$2)+('Log Returns'!C339*$B$3)+('Log Returns'!D339*$B$4)+('Log Returns'!E339*$B$5)+('Log Returns'!F339*$B$6)</f>
        <v>-6.786094112356659E-3</v>
      </c>
    </row>
    <row r="340" spans="3:4" x14ac:dyDescent="0.35">
      <c r="C340" s="2">
        <f>'Log Returns'!A340</f>
        <v>45064</v>
      </c>
      <c r="D340" s="53">
        <f>('Log Returns'!B340*$B$2)+('Log Returns'!C340*$B$3)+('Log Returns'!D340*$B$4)+('Log Returns'!E340*$B$5)+('Log Returns'!F340*$B$6)</f>
        <v>-3.3405634090934522E-3</v>
      </c>
    </row>
    <row r="341" spans="3:4" x14ac:dyDescent="0.35">
      <c r="C341" s="2">
        <f>'Log Returns'!A341</f>
        <v>45065</v>
      </c>
      <c r="D341" s="53">
        <f>('Log Returns'!B341*$B$2)+('Log Returns'!C341*$B$3)+('Log Returns'!D341*$B$4)+('Log Returns'!E341*$B$5)+('Log Returns'!F341*$B$6)</f>
        <v>7.434273601952421E-3</v>
      </c>
    </row>
    <row r="342" spans="3:4" x14ac:dyDescent="0.35">
      <c r="C342" s="2">
        <f>'Log Returns'!A342</f>
        <v>45068</v>
      </c>
      <c r="D342" s="53">
        <f>('Log Returns'!B342*$B$2)+('Log Returns'!C342*$B$3)+('Log Returns'!D342*$B$4)+('Log Returns'!E342*$B$5)+('Log Returns'!F342*$B$6)</f>
        <v>1.0944740403671186E-2</v>
      </c>
    </row>
    <row r="343" spans="3:4" x14ac:dyDescent="0.35">
      <c r="C343" s="2">
        <f>'Log Returns'!A343</f>
        <v>45069</v>
      </c>
      <c r="D343" s="53">
        <f>('Log Returns'!B343*$B$2)+('Log Returns'!C343*$B$3)+('Log Returns'!D343*$B$4)+('Log Returns'!E343*$B$5)+('Log Returns'!F343*$B$6)</f>
        <v>3.6838217136331416E-3</v>
      </c>
    </row>
    <row r="344" spans="3:4" x14ac:dyDescent="0.35">
      <c r="C344" s="2">
        <f>'Log Returns'!A344</f>
        <v>45070</v>
      </c>
      <c r="D344" s="53">
        <f>('Log Returns'!B344*$B$2)+('Log Returns'!C344*$B$3)+('Log Returns'!D344*$B$4)+('Log Returns'!E344*$B$5)+('Log Returns'!F344*$B$6)</f>
        <v>-1.6789738868981962E-3</v>
      </c>
    </row>
    <row r="345" spans="3:4" x14ac:dyDescent="0.35">
      <c r="C345" s="2">
        <f>'Log Returns'!A345</f>
        <v>45071</v>
      </c>
      <c r="D345" s="53">
        <f>('Log Returns'!B345*$B$2)+('Log Returns'!C345*$B$3)+('Log Returns'!D345*$B$4)+('Log Returns'!E345*$B$5)+('Log Returns'!F345*$B$6)</f>
        <v>3.5828952451731487E-3</v>
      </c>
    </row>
    <row r="346" spans="3:4" x14ac:dyDescent="0.35">
      <c r="C346" s="2">
        <f>'Log Returns'!A346</f>
        <v>45072</v>
      </c>
      <c r="D346" s="53">
        <f>('Log Returns'!B346*$B$2)+('Log Returns'!C346*$B$3)+('Log Returns'!D346*$B$4)+('Log Returns'!E346*$B$5)+('Log Returns'!F346*$B$6)</f>
        <v>1.2919548028474207E-2</v>
      </c>
    </row>
    <row r="347" spans="3:4" x14ac:dyDescent="0.35">
      <c r="C347" s="2">
        <f>'Log Returns'!A347</f>
        <v>45075</v>
      </c>
      <c r="D347" s="53">
        <f>('Log Returns'!B347*$B$2)+('Log Returns'!C347*$B$3)+('Log Returns'!D347*$B$4)+('Log Returns'!E347*$B$5)+('Log Returns'!F347*$B$6)</f>
        <v>2.0696431370105881E-3</v>
      </c>
    </row>
    <row r="348" spans="3:4" x14ac:dyDescent="0.35">
      <c r="C348" s="2">
        <f>'Log Returns'!A348</f>
        <v>45076</v>
      </c>
      <c r="D348" s="53">
        <f>('Log Returns'!B348*$B$2)+('Log Returns'!C348*$B$3)+('Log Returns'!D348*$B$4)+('Log Returns'!E348*$B$5)+('Log Returns'!F348*$B$6)</f>
        <v>3.0969545716699569E-3</v>
      </c>
    </row>
    <row r="349" spans="3:4" x14ac:dyDescent="0.35">
      <c r="C349" s="2">
        <f>'Log Returns'!A349</f>
        <v>45077</v>
      </c>
      <c r="D349" s="53">
        <f>('Log Returns'!B349*$B$2)+('Log Returns'!C349*$B$3)+('Log Returns'!D349*$B$4)+('Log Returns'!E349*$B$5)+('Log Returns'!F349*$B$6)</f>
        <v>-8.6027630850239768E-3</v>
      </c>
    </row>
    <row r="350" spans="3:4" x14ac:dyDescent="0.35">
      <c r="C350" s="2">
        <f>'Log Returns'!A350</f>
        <v>45078</v>
      </c>
      <c r="D350" s="53">
        <f>('Log Returns'!B350*$B$2)+('Log Returns'!C350*$B$3)+('Log Returns'!D350*$B$4)+('Log Returns'!E350*$B$5)+('Log Returns'!F350*$B$6)</f>
        <v>-3.6611705472764577E-3</v>
      </c>
    </row>
    <row r="351" spans="3:4" x14ac:dyDescent="0.35">
      <c r="C351" s="2">
        <f>'Log Returns'!A351</f>
        <v>45079</v>
      </c>
      <c r="D351" s="53">
        <f>('Log Returns'!B351*$B$2)+('Log Returns'!C351*$B$3)+('Log Returns'!D351*$B$4)+('Log Returns'!E351*$B$5)+('Log Returns'!F351*$B$6)</f>
        <v>-2.7834595077065837E-3</v>
      </c>
    </row>
    <row r="352" spans="3:4" x14ac:dyDescent="0.35">
      <c r="C352" s="2">
        <f>'Log Returns'!A352</f>
        <v>45082</v>
      </c>
      <c r="D352" s="53">
        <f>('Log Returns'!B352*$B$2)+('Log Returns'!C352*$B$3)+('Log Returns'!D352*$B$4)+('Log Returns'!E352*$B$5)+('Log Returns'!F352*$B$6)</f>
        <v>2.2021719562236777E-3</v>
      </c>
    </row>
    <row r="353" spans="3:4" x14ac:dyDescent="0.35">
      <c r="C353" s="2">
        <f>'Log Returns'!A353</f>
        <v>45083</v>
      </c>
      <c r="D353" s="53">
        <f>('Log Returns'!B353*$B$2)+('Log Returns'!C353*$B$3)+('Log Returns'!D353*$B$4)+('Log Returns'!E353*$B$5)+('Log Returns'!F353*$B$6)</f>
        <v>-7.2648739860014279E-3</v>
      </c>
    </row>
    <row r="354" spans="3:4" x14ac:dyDescent="0.35">
      <c r="C354" s="2">
        <f>'Log Returns'!A354</f>
        <v>45084</v>
      </c>
      <c r="D354" s="53">
        <f>('Log Returns'!B354*$B$2)+('Log Returns'!C354*$B$3)+('Log Returns'!D354*$B$4)+('Log Returns'!E354*$B$5)+('Log Returns'!F354*$B$6)</f>
        <v>5.7959664873192349E-3</v>
      </c>
    </row>
    <row r="355" spans="3:4" x14ac:dyDescent="0.35">
      <c r="C355" s="2">
        <f>'Log Returns'!A355</f>
        <v>45085</v>
      </c>
      <c r="D355" s="53">
        <f>('Log Returns'!B355*$B$2)+('Log Returns'!C355*$B$3)+('Log Returns'!D355*$B$4)+('Log Returns'!E355*$B$5)+('Log Returns'!F355*$B$6)</f>
        <v>-4.1617246045660911E-3</v>
      </c>
    </row>
    <row r="356" spans="3:4" x14ac:dyDescent="0.35">
      <c r="C356" s="2">
        <f>'Log Returns'!A356</f>
        <v>45086</v>
      </c>
      <c r="D356" s="53">
        <f>('Log Returns'!B356*$B$2)+('Log Returns'!C356*$B$3)+('Log Returns'!D356*$B$4)+('Log Returns'!E356*$B$5)+('Log Returns'!F356*$B$6)</f>
        <v>-7.7363417314384418E-3</v>
      </c>
    </row>
    <row r="357" spans="3:4" x14ac:dyDescent="0.35">
      <c r="C357" s="2">
        <f>'Log Returns'!A357</f>
        <v>45089</v>
      </c>
      <c r="D357" s="53">
        <f>('Log Returns'!B357*$B$2)+('Log Returns'!C357*$B$3)+('Log Returns'!D357*$B$4)+('Log Returns'!E357*$B$5)+('Log Returns'!F357*$B$6)</f>
        <v>5.438400218631817E-3</v>
      </c>
    </row>
    <row r="358" spans="3:4" x14ac:dyDescent="0.35">
      <c r="C358" s="2">
        <f>'Log Returns'!A358</f>
        <v>45090</v>
      </c>
      <c r="D358" s="53">
        <f>('Log Returns'!B358*$B$2)+('Log Returns'!C358*$B$3)+('Log Returns'!D358*$B$4)+('Log Returns'!E358*$B$5)+('Log Returns'!F358*$B$6)</f>
        <v>1.0169634043361634E-2</v>
      </c>
    </row>
    <row r="359" spans="3:4" x14ac:dyDescent="0.35">
      <c r="C359" s="2">
        <f>'Log Returns'!A359</f>
        <v>45091</v>
      </c>
      <c r="D359" s="53">
        <f>('Log Returns'!B359*$B$2)+('Log Returns'!C359*$B$3)+('Log Returns'!D359*$B$4)+('Log Returns'!E359*$B$5)+('Log Returns'!F359*$B$6)</f>
        <v>1.0127596694372604E-3</v>
      </c>
    </row>
    <row r="360" spans="3:4" x14ac:dyDescent="0.35">
      <c r="C360" s="2">
        <f>'Log Returns'!A360</f>
        <v>45092</v>
      </c>
      <c r="D360" s="53">
        <f>('Log Returns'!B360*$B$2)+('Log Returns'!C360*$B$3)+('Log Returns'!D360*$B$4)+('Log Returns'!E360*$B$5)+('Log Returns'!F360*$B$6)</f>
        <v>-5.4098253396992098E-3</v>
      </c>
    </row>
    <row r="361" spans="3:4" x14ac:dyDescent="0.35">
      <c r="C361" s="2">
        <f>'Log Returns'!A361</f>
        <v>45093</v>
      </c>
      <c r="D361" s="53">
        <f>('Log Returns'!B361*$B$2)+('Log Returns'!C361*$B$3)+('Log Returns'!D361*$B$4)+('Log Returns'!E361*$B$5)+('Log Returns'!F361*$B$6)</f>
        <v>3.9513849126228216E-3</v>
      </c>
    </row>
    <row r="362" spans="3:4" x14ac:dyDescent="0.35">
      <c r="C362" s="2">
        <f>'Log Returns'!A362</f>
        <v>45096</v>
      </c>
      <c r="D362" s="53">
        <f>('Log Returns'!B362*$B$2)+('Log Returns'!C362*$B$3)+('Log Returns'!D362*$B$4)+('Log Returns'!E362*$B$5)+('Log Returns'!F362*$B$6)</f>
        <v>-1.569382986940803E-3</v>
      </c>
    </row>
    <row r="363" spans="3:4" x14ac:dyDescent="0.35">
      <c r="C363" s="2">
        <f>'Log Returns'!A363</f>
        <v>45097</v>
      </c>
      <c r="D363" s="53">
        <f>('Log Returns'!B363*$B$2)+('Log Returns'!C363*$B$3)+('Log Returns'!D363*$B$4)+('Log Returns'!E363*$B$5)+('Log Returns'!F363*$B$6)</f>
        <v>3.1249110105320615E-3</v>
      </c>
    </row>
    <row r="364" spans="3:4" x14ac:dyDescent="0.35">
      <c r="C364" s="2">
        <f>'Log Returns'!A364</f>
        <v>45098</v>
      </c>
      <c r="D364" s="53">
        <f>('Log Returns'!B364*$B$2)+('Log Returns'!C364*$B$3)+('Log Returns'!D364*$B$4)+('Log Returns'!E364*$B$5)+('Log Returns'!F364*$B$6)</f>
        <v>-9.3775180271105292E-4</v>
      </c>
    </row>
    <row r="365" spans="3:4" x14ac:dyDescent="0.35">
      <c r="C365" s="2">
        <f>'Log Returns'!A365</f>
        <v>45099</v>
      </c>
      <c r="D365" s="53">
        <f>('Log Returns'!B365*$B$2)+('Log Returns'!C365*$B$3)+('Log Returns'!D365*$B$4)+('Log Returns'!E365*$B$5)+('Log Returns'!F365*$B$6)</f>
        <v>-5.7384763954956572E-3</v>
      </c>
    </row>
    <row r="366" spans="3:4" x14ac:dyDescent="0.35">
      <c r="C366" s="2">
        <f>'Log Returns'!A366</f>
        <v>45100</v>
      </c>
      <c r="D366" s="53">
        <f>('Log Returns'!B366*$B$2)+('Log Returns'!C366*$B$3)+('Log Returns'!D366*$B$4)+('Log Returns'!E366*$B$5)+('Log Returns'!F366*$B$6)</f>
        <v>-7.4007802427989624E-3</v>
      </c>
    </row>
    <row r="367" spans="3:4" x14ac:dyDescent="0.35">
      <c r="C367" s="2">
        <f>'Log Returns'!A367</f>
        <v>45103</v>
      </c>
      <c r="D367" s="53">
        <f>('Log Returns'!B367*$B$2)+('Log Returns'!C367*$B$3)+('Log Returns'!D367*$B$4)+('Log Returns'!E367*$B$5)+('Log Returns'!F367*$B$6)</f>
        <v>-1.0760036343874743E-3</v>
      </c>
    </row>
    <row r="368" spans="3:4" x14ac:dyDescent="0.35">
      <c r="C368" s="2">
        <f>'Log Returns'!A368</f>
        <v>45104</v>
      </c>
      <c r="D368" s="53">
        <f>('Log Returns'!B368*$B$2)+('Log Returns'!C368*$B$3)+('Log Returns'!D368*$B$4)+('Log Returns'!E368*$B$5)+('Log Returns'!F368*$B$6)</f>
        <v>3.5210122824488772E-3</v>
      </c>
    </row>
    <row r="369" spans="3:4" x14ac:dyDescent="0.35">
      <c r="C369" s="2">
        <f>'Log Returns'!A369</f>
        <v>45105</v>
      </c>
      <c r="D369" s="53">
        <f>('Log Returns'!B369*$B$2)+('Log Returns'!C369*$B$3)+('Log Returns'!D369*$B$4)+('Log Returns'!E369*$B$5)+('Log Returns'!F369*$B$6)</f>
        <v>8.155707956628816E-3</v>
      </c>
    </row>
    <row r="370" spans="3:4" x14ac:dyDescent="0.35">
      <c r="C370" s="2">
        <f>'Log Returns'!A370</f>
        <v>45107</v>
      </c>
      <c r="D370" s="53">
        <f>('Log Returns'!B370*$B$2)+('Log Returns'!C370*$B$3)+('Log Returns'!D370*$B$4)+('Log Returns'!E370*$B$5)+('Log Returns'!F370*$B$6)</f>
        <v>1.3767113755492515E-2</v>
      </c>
    </row>
    <row r="371" spans="3:4" x14ac:dyDescent="0.35">
      <c r="C371" s="2">
        <f>'Log Returns'!A371</f>
        <v>45110</v>
      </c>
      <c r="D371" s="53">
        <f>('Log Returns'!B371*$B$2)+('Log Returns'!C371*$B$3)+('Log Returns'!D371*$B$4)+('Log Returns'!E371*$B$5)+('Log Returns'!F371*$B$6)</f>
        <v>9.7638961755163942E-3</v>
      </c>
    </row>
    <row r="372" spans="3:4" x14ac:dyDescent="0.35">
      <c r="C372" s="2">
        <f>'Log Returns'!A372</f>
        <v>45111</v>
      </c>
      <c r="D372" s="53">
        <f>('Log Returns'!B372*$B$2)+('Log Returns'!C372*$B$3)+('Log Returns'!D372*$B$4)+('Log Returns'!E372*$B$5)+('Log Returns'!F372*$B$6)</f>
        <v>3.6479088195470006E-3</v>
      </c>
    </row>
    <row r="373" spans="3:4" x14ac:dyDescent="0.35">
      <c r="C373" s="2">
        <f>'Log Returns'!A373</f>
        <v>45112</v>
      </c>
      <c r="D373" s="53">
        <f>('Log Returns'!B373*$B$2)+('Log Returns'!C373*$B$3)+('Log Returns'!D373*$B$4)+('Log Returns'!E373*$B$5)+('Log Returns'!F373*$B$6)</f>
        <v>7.1757824177976423E-3</v>
      </c>
    </row>
    <row r="374" spans="3:4" x14ac:dyDescent="0.35">
      <c r="C374" s="2">
        <f>'Log Returns'!A374</f>
        <v>45113</v>
      </c>
      <c r="D374" s="53">
        <f>('Log Returns'!B374*$B$2)+('Log Returns'!C374*$B$3)+('Log Returns'!D374*$B$4)+('Log Returns'!E374*$B$5)+('Log Returns'!F374*$B$6)</f>
        <v>3.6160065769969786E-3</v>
      </c>
    </row>
    <row r="375" spans="3:4" x14ac:dyDescent="0.35">
      <c r="C375" s="2">
        <f>'Log Returns'!A375</f>
        <v>45114</v>
      </c>
      <c r="D375" s="53">
        <f>('Log Returns'!B375*$B$2)+('Log Returns'!C375*$B$3)+('Log Returns'!D375*$B$4)+('Log Returns'!E375*$B$5)+('Log Returns'!F375*$B$6)</f>
        <v>-7.1239173268995088E-3</v>
      </c>
    </row>
    <row r="376" spans="3:4" x14ac:dyDescent="0.35">
      <c r="C376" s="2">
        <f>'Log Returns'!A376</f>
        <v>45117</v>
      </c>
      <c r="D376" s="53">
        <f>('Log Returns'!B376*$B$2)+('Log Returns'!C376*$B$3)+('Log Returns'!D376*$B$4)+('Log Returns'!E376*$B$5)+('Log Returns'!F376*$B$6)</f>
        <v>3.2596141024580855E-3</v>
      </c>
    </row>
    <row r="377" spans="3:4" x14ac:dyDescent="0.35">
      <c r="C377" s="2">
        <f>'Log Returns'!A377</f>
        <v>45118</v>
      </c>
      <c r="D377" s="53">
        <f>('Log Returns'!B377*$B$2)+('Log Returns'!C377*$B$3)+('Log Returns'!D377*$B$4)+('Log Returns'!E377*$B$5)+('Log Returns'!F377*$B$6)</f>
        <v>7.4723228590444927E-3</v>
      </c>
    </row>
    <row r="378" spans="3:4" x14ac:dyDescent="0.35">
      <c r="C378" s="2">
        <f>'Log Returns'!A378</f>
        <v>45119</v>
      </c>
      <c r="D378" s="53">
        <f>('Log Returns'!B378*$B$2)+('Log Returns'!C378*$B$3)+('Log Returns'!D378*$B$4)+('Log Returns'!E378*$B$5)+('Log Returns'!F378*$B$6)</f>
        <v>-3.306139118854644E-3</v>
      </c>
    </row>
    <row r="379" spans="3:4" x14ac:dyDescent="0.35">
      <c r="C379" s="2">
        <f>'Log Returns'!A379</f>
        <v>45120</v>
      </c>
      <c r="D379" s="53">
        <f>('Log Returns'!B379*$B$2)+('Log Returns'!C379*$B$3)+('Log Returns'!D379*$B$4)+('Log Returns'!E379*$B$5)+('Log Returns'!F379*$B$6)</f>
        <v>1.0059500168545191E-2</v>
      </c>
    </row>
    <row r="380" spans="3:4" x14ac:dyDescent="0.35">
      <c r="C380" s="2">
        <f>'Log Returns'!A380</f>
        <v>45121</v>
      </c>
      <c r="D380" s="53">
        <f>('Log Returns'!B380*$B$2)+('Log Returns'!C380*$B$3)+('Log Returns'!D380*$B$4)+('Log Returns'!E380*$B$5)+('Log Returns'!F380*$B$6)</f>
        <v>2.0003225025938695E-2</v>
      </c>
    </row>
    <row r="381" spans="3:4" x14ac:dyDescent="0.35">
      <c r="C381" s="2">
        <f>'Log Returns'!A381</f>
        <v>45124</v>
      </c>
      <c r="D381" s="53">
        <f>('Log Returns'!B381*$B$2)+('Log Returns'!C381*$B$3)+('Log Returns'!D381*$B$4)+('Log Returns'!E381*$B$5)+('Log Returns'!F381*$B$6)</f>
        <v>3.8759090441403436E-3</v>
      </c>
    </row>
    <row r="382" spans="3:4" x14ac:dyDescent="0.35">
      <c r="C382" s="2">
        <f>'Log Returns'!A382</f>
        <v>45125</v>
      </c>
      <c r="D382" s="53">
        <f>('Log Returns'!B382*$B$2)+('Log Returns'!C382*$B$3)+('Log Returns'!D382*$B$4)+('Log Returns'!E382*$B$5)+('Log Returns'!F382*$B$6)</f>
        <v>1.0649822431876229E-2</v>
      </c>
    </row>
    <row r="383" spans="3:4" x14ac:dyDescent="0.35">
      <c r="C383" s="2">
        <f>'Log Returns'!A383</f>
        <v>45126</v>
      </c>
      <c r="D383" s="53">
        <f>('Log Returns'!B383*$B$2)+('Log Returns'!C383*$B$3)+('Log Returns'!D383*$B$4)+('Log Returns'!E383*$B$5)+('Log Returns'!F383*$B$6)</f>
        <v>2.1993827421371293E-3</v>
      </c>
    </row>
    <row r="384" spans="3:4" x14ac:dyDescent="0.35">
      <c r="C384" s="2">
        <f>'Log Returns'!A384</f>
        <v>45127</v>
      </c>
      <c r="D384" s="53">
        <f>('Log Returns'!B384*$B$2)+('Log Returns'!C384*$B$3)+('Log Returns'!D384*$B$4)+('Log Returns'!E384*$B$5)+('Log Returns'!F384*$B$6)</f>
        <v>9.1749225449902234E-3</v>
      </c>
    </row>
    <row r="385" spans="3:4" x14ac:dyDescent="0.35">
      <c r="C385" s="2">
        <f>'Log Returns'!A385</f>
        <v>45128</v>
      </c>
      <c r="D385" s="53">
        <f>('Log Returns'!B385*$B$2)+('Log Returns'!C385*$B$3)+('Log Returns'!D385*$B$4)+('Log Returns'!E385*$B$5)+('Log Returns'!F385*$B$6)</f>
        <v>-2.9231576233355403E-2</v>
      </c>
    </row>
    <row r="386" spans="3:4" x14ac:dyDescent="0.35">
      <c r="C386" s="2">
        <f>'Log Returns'!A386</f>
        <v>45131</v>
      </c>
      <c r="D386" s="53">
        <f>('Log Returns'!B386*$B$2)+('Log Returns'!C386*$B$3)+('Log Returns'!D386*$B$4)+('Log Returns'!E386*$B$5)+('Log Returns'!F386*$B$6)</f>
        <v>-1.0724344435108783E-2</v>
      </c>
    </row>
    <row r="387" spans="3:4" x14ac:dyDescent="0.35">
      <c r="C387" s="2">
        <f>'Log Returns'!A387</f>
        <v>45132</v>
      </c>
      <c r="D387" s="53">
        <f>('Log Returns'!B387*$B$2)+('Log Returns'!C387*$B$3)+('Log Returns'!D387*$B$4)+('Log Returns'!E387*$B$5)+('Log Returns'!F387*$B$6)</f>
        <v>-3.5024311866692845E-3</v>
      </c>
    </row>
    <row r="388" spans="3:4" x14ac:dyDescent="0.35">
      <c r="C388" s="2">
        <f>'Log Returns'!A388</f>
        <v>45133</v>
      </c>
      <c r="D388" s="53">
        <f>('Log Returns'!B388*$B$2)+('Log Returns'!C388*$B$3)+('Log Returns'!D388*$B$4)+('Log Returns'!E388*$B$5)+('Log Returns'!F388*$B$6)</f>
        <v>9.3227223577396351E-3</v>
      </c>
    </row>
    <row r="389" spans="3:4" x14ac:dyDescent="0.35">
      <c r="C389" s="2">
        <f>'Log Returns'!A389</f>
        <v>45134</v>
      </c>
      <c r="D389" s="53">
        <f>('Log Returns'!B389*$B$2)+('Log Returns'!C389*$B$3)+('Log Returns'!D389*$B$4)+('Log Returns'!E389*$B$5)+('Log Returns'!F389*$B$6)</f>
        <v>-5.0500094991509301E-3</v>
      </c>
    </row>
    <row r="390" spans="3:4" x14ac:dyDescent="0.35">
      <c r="C390" s="2">
        <f>'Log Returns'!A390</f>
        <v>45135</v>
      </c>
      <c r="D390" s="53">
        <f>('Log Returns'!B390*$B$2)+('Log Returns'!C390*$B$3)+('Log Returns'!D390*$B$4)+('Log Returns'!E390*$B$5)+('Log Returns'!F390*$B$6)</f>
        <v>3.2063979536996927E-4</v>
      </c>
    </row>
    <row r="391" spans="3:4" x14ac:dyDescent="0.35">
      <c r="C391" s="2">
        <f>'Log Returns'!A391</f>
        <v>45138</v>
      </c>
      <c r="D391" s="53">
        <f>('Log Returns'!B391*$B$2)+('Log Returns'!C391*$B$3)+('Log Returns'!D391*$B$4)+('Log Returns'!E391*$B$5)+('Log Returns'!F391*$B$6)</f>
        <v>7.0830158831828981E-3</v>
      </c>
    </row>
    <row r="392" spans="3:4" x14ac:dyDescent="0.35">
      <c r="C392" s="2">
        <f>'Log Returns'!A392</f>
        <v>45139</v>
      </c>
      <c r="D392" s="53">
        <f>('Log Returns'!B392*$B$2)+('Log Returns'!C392*$B$3)+('Log Returns'!D392*$B$4)+('Log Returns'!E392*$B$5)+('Log Returns'!F392*$B$6)</f>
        <v>-8.1028104538540229E-4</v>
      </c>
    </row>
    <row r="393" spans="3:4" x14ac:dyDescent="0.35">
      <c r="C393" s="2">
        <f>'Log Returns'!A393</f>
        <v>45140</v>
      </c>
      <c r="D393" s="53">
        <f>('Log Returns'!B393*$B$2)+('Log Returns'!C393*$B$3)+('Log Returns'!D393*$B$4)+('Log Returns'!E393*$B$5)+('Log Returns'!F393*$B$6)</f>
        <v>-7.6042462102614396E-3</v>
      </c>
    </row>
    <row r="394" spans="3:4" x14ac:dyDescent="0.35">
      <c r="C394" s="2">
        <f>'Log Returns'!A394</f>
        <v>45141</v>
      </c>
      <c r="D394" s="53">
        <f>('Log Returns'!B394*$B$2)+('Log Returns'!C394*$B$3)+('Log Returns'!D394*$B$4)+('Log Returns'!E394*$B$5)+('Log Returns'!F394*$B$6)</f>
        <v>-8.39497074557655E-3</v>
      </c>
    </row>
    <row r="395" spans="3:4" x14ac:dyDescent="0.35">
      <c r="C395" s="2">
        <f>'Log Returns'!A395</f>
        <v>45142</v>
      </c>
      <c r="D395" s="53">
        <f>('Log Returns'!B395*$B$2)+('Log Returns'!C395*$B$3)+('Log Returns'!D395*$B$4)+('Log Returns'!E395*$B$5)+('Log Returns'!F395*$B$6)</f>
        <v>7.9535684971851761E-3</v>
      </c>
    </row>
    <row r="396" spans="3:4" x14ac:dyDescent="0.35">
      <c r="C396" s="2">
        <f>'Log Returns'!A396</f>
        <v>45145</v>
      </c>
      <c r="D396" s="53">
        <f>('Log Returns'!B396*$B$2)+('Log Returns'!C396*$B$3)+('Log Returns'!D396*$B$4)+('Log Returns'!E396*$B$5)+('Log Returns'!F396*$B$6)</f>
        <v>6.6233514320364478E-3</v>
      </c>
    </row>
    <row r="397" spans="3:4" x14ac:dyDescent="0.35">
      <c r="C397" s="2">
        <f>'Log Returns'!A397</f>
        <v>45146</v>
      </c>
      <c r="D397" s="53">
        <f>('Log Returns'!B397*$B$2)+('Log Returns'!C397*$B$3)+('Log Returns'!D397*$B$4)+('Log Returns'!E397*$B$5)+('Log Returns'!F397*$B$6)</f>
        <v>-2.6391053669431062E-3</v>
      </c>
    </row>
    <row r="398" spans="3:4" x14ac:dyDescent="0.35">
      <c r="C398" s="2">
        <f>'Log Returns'!A398</f>
        <v>45147</v>
      </c>
      <c r="D398" s="53">
        <f>('Log Returns'!B398*$B$2)+('Log Returns'!C398*$B$3)+('Log Returns'!D398*$B$4)+('Log Returns'!E398*$B$5)+('Log Returns'!F398*$B$6)</f>
        <v>2.7438764097621636E-3</v>
      </c>
    </row>
    <row r="399" spans="3:4" x14ac:dyDescent="0.35">
      <c r="C399" s="2">
        <f>'Log Returns'!A399</f>
        <v>45148</v>
      </c>
      <c r="D399" s="53">
        <f>('Log Returns'!B399*$B$2)+('Log Returns'!C399*$B$3)+('Log Returns'!D399*$B$4)+('Log Returns'!E399*$B$5)+('Log Returns'!F399*$B$6)</f>
        <v>-5.8652589645537666E-3</v>
      </c>
    </row>
    <row r="400" spans="3:4" x14ac:dyDescent="0.35">
      <c r="C400" s="2">
        <f>'Log Returns'!A400</f>
        <v>45149</v>
      </c>
      <c r="D400" s="53">
        <f>('Log Returns'!B400*$B$2)+('Log Returns'!C400*$B$3)+('Log Returns'!D400*$B$4)+('Log Returns'!E400*$B$5)+('Log Returns'!F400*$B$6)</f>
        <v>-4.9494103056105963E-3</v>
      </c>
    </row>
    <row r="401" spans="3:4" x14ac:dyDescent="0.35">
      <c r="C401" s="2">
        <f>'Log Returns'!A401</f>
        <v>45152</v>
      </c>
      <c r="D401" s="53">
        <f>('Log Returns'!B401*$B$2)+('Log Returns'!C401*$B$3)+('Log Returns'!D401*$B$4)+('Log Returns'!E401*$B$5)+('Log Returns'!F401*$B$6)</f>
        <v>7.1552482754652499E-3</v>
      </c>
    </row>
    <row r="402" spans="3:4" x14ac:dyDescent="0.35">
      <c r="C402" s="2">
        <f>'Log Returns'!A402</f>
        <v>45154</v>
      </c>
      <c r="D402" s="53">
        <f>('Log Returns'!B402*$B$2)+('Log Returns'!C402*$B$3)+('Log Returns'!D402*$B$4)+('Log Returns'!E402*$B$5)+('Log Returns'!F402*$B$6)</f>
        <v>3.7081933200088127E-3</v>
      </c>
    </row>
    <row r="403" spans="3:4" x14ac:dyDescent="0.35">
      <c r="C403" s="2">
        <f>'Log Returns'!A403</f>
        <v>45155</v>
      </c>
      <c r="D403" s="53">
        <f>('Log Returns'!B403*$B$2)+('Log Returns'!C403*$B$3)+('Log Returns'!D403*$B$4)+('Log Returns'!E403*$B$5)+('Log Returns'!F403*$B$6)</f>
        <v>-1.0370138375018854E-2</v>
      </c>
    </row>
    <row r="404" spans="3:4" x14ac:dyDescent="0.35">
      <c r="C404" s="2">
        <f>'Log Returns'!A404</f>
        <v>45156</v>
      </c>
      <c r="D404" s="53">
        <f>('Log Returns'!B404*$B$2)+('Log Returns'!C404*$B$3)+('Log Returns'!D404*$B$4)+('Log Returns'!E404*$B$5)+('Log Returns'!F404*$B$6)</f>
        <v>-5.7230290934617151E-3</v>
      </c>
    </row>
    <row r="405" spans="3:4" x14ac:dyDescent="0.35">
      <c r="C405" s="2">
        <f>'Log Returns'!A405</f>
        <v>45159</v>
      </c>
      <c r="D405" s="53">
        <f>('Log Returns'!B405*$B$2)+('Log Returns'!C405*$B$3)+('Log Returns'!D405*$B$4)+('Log Returns'!E405*$B$5)+('Log Returns'!F405*$B$6)</f>
        <v>5.2392627179359413E-3</v>
      </c>
    </row>
    <row r="406" spans="3:4" x14ac:dyDescent="0.35">
      <c r="C406" s="2">
        <f>'Log Returns'!A406</f>
        <v>45160</v>
      </c>
      <c r="D406" s="53">
        <f>('Log Returns'!B406*$B$2)+('Log Returns'!C406*$B$3)+('Log Returns'!D406*$B$4)+('Log Returns'!E406*$B$5)+('Log Returns'!F406*$B$6)</f>
        <v>7.5593093552700063E-4</v>
      </c>
    </row>
    <row r="407" spans="3:4" x14ac:dyDescent="0.35">
      <c r="C407" s="2">
        <f>'Log Returns'!A407</f>
        <v>45161</v>
      </c>
      <c r="D407" s="53">
        <f>('Log Returns'!B407*$B$2)+('Log Returns'!C407*$B$3)+('Log Returns'!D407*$B$4)+('Log Returns'!E407*$B$5)+('Log Returns'!F407*$B$6)</f>
        <v>3.1833501501315198E-3</v>
      </c>
    </row>
    <row r="408" spans="3:4" x14ac:dyDescent="0.35">
      <c r="C408" s="2">
        <f>'Log Returns'!A408</f>
        <v>45162</v>
      </c>
      <c r="D408" s="53">
        <f>('Log Returns'!B408*$B$2)+('Log Returns'!C408*$B$3)+('Log Returns'!D408*$B$4)+('Log Returns'!E408*$B$5)+('Log Returns'!F408*$B$6)</f>
        <v>-1.1634080523233166E-3</v>
      </c>
    </row>
    <row r="409" spans="3:4" x14ac:dyDescent="0.35">
      <c r="C409" s="2">
        <f>'Log Returns'!A409</f>
        <v>45163</v>
      </c>
      <c r="D409" s="53">
        <f>('Log Returns'!B409*$B$2)+('Log Returns'!C409*$B$3)+('Log Returns'!D409*$B$4)+('Log Returns'!E409*$B$5)+('Log Returns'!F409*$B$6)</f>
        <v>-4.8751608534062015E-3</v>
      </c>
    </row>
    <row r="410" spans="3:4" x14ac:dyDescent="0.35">
      <c r="C410" s="2">
        <f>'Log Returns'!A410</f>
        <v>45166</v>
      </c>
      <c r="D410" s="53">
        <f>('Log Returns'!B410*$B$2)+('Log Returns'!C410*$B$3)+('Log Returns'!D410*$B$4)+('Log Returns'!E410*$B$5)+('Log Returns'!F410*$B$6)</f>
        <v>-3.82419931565375E-3</v>
      </c>
    </row>
    <row r="411" spans="3:4" x14ac:dyDescent="0.35">
      <c r="C411" s="2">
        <f>'Log Returns'!A411</f>
        <v>45167</v>
      </c>
      <c r="D411" s="53">
        <f>('Log Returns'!B411*$B$2)+('Log Returns'!C411*$B$3)+('Log Returns'!D411*$B$4)+('Log Returns'!E411*$B$5)+('Log Returns'!F411*$B$6)</f>
        <v>-2.77530835719806E-3</v>
      </c>
    </row>
    <row r="412" spans="3:4" x14ac:dyDescent="0.35">
      <c r="C412" s="2">
        <f>'Log Returns'!A412</f>
        <v>45168</v>
      </c>
      <c r="D412" s="53">
        <f>('Log Returns'!B412*$B$2)+('Log Returns'!C412*$B$3)+('Log Returns'!D412*$B$4)+('Log Returns'!E412*$B$5)+('Log Returns'!F412*$B$6)</f>
        <v>2.5233001768882771E-3</v>
      </c>
    </row>
    <row r="413" spans="3:4" x14ac:dyDescent="0.35">
      <c r="C413" s="2">
        <f>'Log Returns'!A413</f>
        <v>45169</v>
      </c>
      <c r="D413" s="53">
        <f>('Log Returns'!B413*$B$2)+('Log Returns'!C413*$B$3)+('Log Returns'!D413*$B$4)+('Log Returns'!E413*$B$5)+('Log Returns'!F413*$B$6)</f>
        <v>-4.334228558708195E-3</v>
      </c>
    </row>
    <row r="414" spans="3:4" x14ac:dyDescent="0.35">
      <c r="C414" s="2">
        <f>'Log Returns'!A414</f>
        <v>45170</v>
      </c>
      <c r="D414" s="53">
        <f>('Log Returns'!B414*$B$2)+('Log Returns'!C414*$B$3)+('Log Returns'!D414*$B$4)+('Log Returns'!E414*$B$5)+('Log Returns'!F414*$B$6)</f>
        <v>5.6438217094995176E-3</v>
      </c>
    </row>
    <row r="415" spans="3:4" x14ac:dyDescent="0.35">
      <c r="C415" s="2">
        <f>'Log Returns'!A415</f>
        <v>45173</v>
      </c>
      <c r="D415" s="53">
        <f>('Log Returns'!B415*$B$2)+('Log Returns'!C415*$B$3)+('Log Returns'!D415*$B$4)+('Log Returns'!E415*$B$5)+('Log Returns'!F415*$B$6)</f>
        <v>3.1776832816697636E-3</v>
      </c>
    </row>
    <row r="416" spans="3:4" x14ac:dyDescent="0.35">
      <c r="C416" s="2">
        <f>'Log Returns'!A416</f>
        <v>45174</v>
      </c>
      <c r="D416" s="53">
        <f>('Log Returns'!B416*$B$2)+('Log Returns'!C416*$B$3)+('Log Returns'!D416*$B$4)+('Log Returns'!E416*$B$5)+('Log Returns'!F416*$B$6)</f>
        <v>6.3376444542068439E-3</v>
      </c>
    </row>
    <row r="417" spans="3:4" x14ac:dyDescent="0.35">
      <c r="C417" s="2">
        <f>'Log Returns'!A417</f>
        <v>45175</v>
      </c>
      <c r="D417" s="53">
        <f>('Log Returns'!B417*$B$2)+('Log Returns'!C417*$B$3)+('Log Returns'!D417*$B$4)+('Log Returns'!E417*$B$5)+('Log Returns'!F417*$B$6)</f>
        <v>-5.577211993770901E-5</v>
      </c>
    </row>
    <row r="418" spans="3:4" x14ac:dyDescent="0.35">
      <c r="C418" s="2">
        <f>'Log Returns'!A418</f>
        <v>45176</v>
      </c>
      <c r="D418" s="53">
        <f>('Log Returns'!B418*$B$2)+('Log Returns'!C418*$B$3)+('Log Returns'!D418*$B$4)+('Log Returns'!E418*$B$5)+('Log Returns'!F418*$B$6)</f>
        <v>1.219107472820589E-3</v>
      </c>
    </row>
    <row r="419" spans="3:4" x14ac:dyDescent="0.35">
      <c r="C419" s="2">
        <f>'Log Returns'!A419</f>
        <v>45177</v>
      </c>
      <c r="D419" s="53">
        <f>('Log Returns'!B419*$B$2)+('Log Returns'!C419*$B$3)+('Log Returns'!D419*$B$4)+('Log Returns'!E419*$B$5)+('Log Returns'!F419*$B$6)</f>
        <v>5.6382825950368801E-4</v>
      </c>
    </row>
    <row r="420" spans="3:4" x14ac:dyDescent="0.35">
      <c r="C420" s="2">
        <f>'Log Returns'!A420</f>
        <v>45180</v>
      </c>
      <c r="D420" s="53">
        <f>('Log Returns'!B420*$B$2)+('Log Returns'!C420*$B$3)+('Log Returns'!D420*$B$4)+('Log Returns'!E420*$B$5)+('Log Returns'!F420*$B$6)</f>
        <v>8.9438069712890131E-3</v>
      </c>
    </row>
    <row r="421" spans="3:4" x14ac:dyDescent="0.35">
      <c r="C421" s="2">
        <f>'Log Returns'!A421</f>
        <v>45181</v>
      </c>
      <c r="D421" s="53">
        <f>('Log Returns'!B421*$B$2)+('Log Returns'!C421*$B$3)+('Log Returns'!D421*$B$4)+('Log Returns'!E421*$B$5)+('Log Returns'!F421*$B$6)</f>
        <v>1.0319167647179153E-2</v>
      </c>
    </row>
    <row r="422" spans="3:4" x14ac:dyDescent="0.35">
      <c r="C422" s="2">
        <f>'Log Returns'!A422</f>
        <v>45182</v>
      </c>
      <c r="D422" s="53">
        <f>('Log Returns'!B422*$B$2)+('Log Returns'!C422*$B$3)+('Log Returns'!D422*$B$4)+('Log Returns'!E422*$B$5)+('Log Returns'!F422*$B$6)</f>
        <v>8.0737506417791769E-4</v>
      </c>
    </row>
    <row r="423" spans="3:4" x14ac:dyDescent="0.35">
      <c r="C423" s="2">
        <f>'Log Returns'!A423</f>
        <v>45183</v>
      </c>
      <c r="D423" s="53">
        <f>('Log Returns'!B423*$B$2)+('Log Returns'!C423*$B$3)+('Log Returns'!D423*$B$4)+('Log Returns'!E423*$B$5)+('Log Returns'!F423*$B$6)</f>
        <v>-1.1069203389120941E-3</v>
      </c>
    </row>
    <row r="424" spans="3:4" x14ac:dyDescent="0.35">
      <c r="C424" s="2">
        <f>'Log Returns'!A424</f>
        <v>45184</v>
      </c>
      <c r="D424" s="53">
        <f>('Log Returns'!B424*$B$2)+('Log Returns'!C424*$B$3)+('Log Returns'!D424*$B$4)+('Log Returns'!E424*$B$5)+('Log Returns'!F424*$B$6)</f>
        <v>3.3688678355201138E-3</v>
      </c>
    </row>
    <row r="425" spans="3:4" x14ac:dyDescent="0.35">
      <c r="C425" s="2">
        <f>'Log Returns'!A425</f>
        <v>45187</v>
      </c>
      <c r="D425" s="53">
        <f>('Log Returns'!B425*$B$2)+('Log Returns'!C425*$B$3)+('Log Returns'!D425*$B$4)+('Log Returns'!E425*$B$5)+('Log Returns'!F425*$B$6)</f>
        <v>-2.7624783566495572E-3</v>
      </c>
    </row>
    <row r="426" spans="3:4" x14ac:dyDescent="0.35">
      <c r="C426" s="2">
        <f>'Log Returns'!A426</f>
        <v>45189</v>
      </c>
      <c r="D426" s="53">
        <f>('Log Returns'!B426*$B$2)+('Log Returns'!C426*$B$3)+('Log Returns'!D426*$B$4)+('Log Returns'!E426*$B$5)+('Log Returns'!F426*$B$6)</f>
        <v>-4.936232343830887E-3</v>
      </c>
    </row>
    <row r="427" spans="3:4" x14ac:dyDescent="0.35">
      <c r="C427" s="2">
        <f>'Log Returns'!A427</f>
        <v>45190</v>
      </c>
      <c r="D427" s="53">
        <f>('Log Returns'!B427*$B$2)+('Log Returns'!C427*$B$3)+('Log Returns'!D427*$B$4)+('Log Returns'!E427*$B$5)+('Log Returns'!F427*$B$6)</f>
        <v>-9.2255996611770204E-3</v>
      </c>
    </row>
    <row r="428" spans="3:4" x14ac:dyDescent="0.35">
      <c r="C428" s="2">
        <f>'Log Returns'!A428</f>
        <v>45191</v>
      </c>
      <c r="D428" s="53">
        <f>('Log Returns'!B428*$B$2)+('Log Returns'!C428*$B$3)+('Log Returns'!D428*$B$4)+('Log Returns'!E428*$B$5)+('Log Returns'!F428*$B$6)</f>
        <v>-4.4206704400833186E-3</v>
      </c>
    </row>
    <row r="429" spans="3:4" x14ac:dyDescent="0.35">
      <c r="C429" s="2">
        <f>'Log Returns'!A429</f>
        <v>45194</v>
      </c>
      <c r="D429" s="53">
        <f>('Log Returns'!B429*$B$2)+('Log Returns'!C429*$B$3)+('Log Returns'!D429*$B$4)+('Log Returns'!E429*$B$5)+('Log Returns'!F429*$B$6)</f>
        <v>-4.6346118934960569E-3</v>
      </c>
    </row>
    <row r="430" spans="3:4" x14ac:dyDescent="0.35">
      <c r="C430" s="2">
        <f>'Log Returns'!A430</f>
        <v>45195</v>
      </c>
      <c r="D430" s="53">
        <f>('Log Returns'!B430*$B$2)+('Log Returns'!C430*$B$3)+('Log Returns'!D430*$B$4)+('Log Returns'!E430*$B$5)+('Log Returns'!F430*$B$6)</f>
        <v>-2.8605395537398721E-3</v>
      </c>
    </row>
    <row r="431" spans="3:4" x14ac:dyDescent="0.35">
      <c r="C431" s="2">
        <f>'Log Returns'!A431</f>
        <v>45196</v>
      </c>
      <c r="D431" s="53">
        <f>('Log Returns'!B431*$B$2)+('Log Returns'!C431*$B$3)+('Log Returns'!D431*$B$4)+('Log Returns'!E431*$B$5)+('Log Returns'!F431*$B$6)</f>
        <v>5.1334806815661917E-3</v>
      </c>
    </row>
    <row r="432" spans="3:4" x14ac:dyDescent="0.35">
      <c r="C432" s="2">
        <f>'Log Returns'!A432</f>
        <v>45197</v>
      </c>
      <c r="D432" s="53">
        <f>('Log Returns'!B432*$B$2)+('Log Returns'!C432*$B$3)+('Log Returns'!D432*$B$4)+('Log Returns'!E432*$B$5)+('Log Returns'!F432*$B$6)</f>
        <v>-1.3585651966684221E-2</v>
      </c>
    </row>
    <row r="433" spans="3:4" x14ac:dyDescent="0.35">
      <c r="C433" s="2">
        <f>'Log Returns'!A433</f>
        <v>45198</v>
      </c>
      <c r="D433" s="53">
        <f>('Log Returns'!B433*$B$2)+('Log Returns'!C433*$B$3)+('Log Returns'!D433*$B$4)+('Log Returns'!E433*$B$5)+('Log Returns'!F433*$B$6)</f>
        <v>3.5314728746783288E-3</v>
      </c>
    </row>
    <row r="434" spans="3:4" x14ac:dyDescent="0.35">
      <c r="C434" s="2">
        <f>'Log Returns'!A434</f>
        <v>45202</v>
      </c>
      <c r="D434" s="53">
        <f>('Log Returns'!B434*$B$2)+('Log Returns'!C434*$B$3)+('Log Returns'!D434*$B$4)+('Log Returns'!E434*$B$5)+('Log Returns'!F434*$B$6)</f>
        <v>-7.9019849543183543E-3</v>
      </c>
    </row>
    <row r="435" spans="3:4" x14ac:dyDescent="0.35">
      <c r="C435" s="2">
        <f>'Log Returns'!A435</f>
        <v>45203</v>
      </c>
      <c r="D435" s="53">
        <f>('Log Returns'!B435*$B$2)+('Log Returns'!C435*$B$3)+('Log Returns'!D435*$B$4)+('Log Returns'!E435*$B$5)+('Log Returns'!F435*$B$6)</f>
        <v>-1.4078684383040771E-3</v>
      </c>
    </row>
    <row r="436" spans="3:4" x14ac:dyDescent="0.35">
      <c r="C436" s="2">
        <f>'Log Returns'!A436</f>
        <v>45204</v>
      </c>
      <c r="D436" s="53">
        <f>('Log Returns'!B436*$B$2)+('Log Returns'!C436*$B$3)+('Log Returns'!D436*$B$4)+('Log Returns'!E436*$B$5)+('Log Returns'!F436*$B$6)</f>
        <v>7.8049052499415336E-3</v>
      </c>
    </row>
    <row r="437" spans="3:4" x14ac:dyDescent="0.35">
      <c r="C437" s="2">
        <f>'Log Returns'!A437</f>
        <v>45205</v>
      </c>
      <c r="D437" s="53">
        <f>('Log Returns'!B437*$B$2)+('Log Returns'!C437*$B$3)+('Log Returns'!D437*$B$4)+('Log Returns'!E437*$B$5)+('Log Returns'!F437*$B$6)</f>
        <v>7.8879711459264798E-3</v>
      </c>
    </row>
    <row r="438" spans="3:4" x14ac:dyDescent="0.35">
      <c r="C438" s="2">
        <f>'Log Returns'!A438</f>
        <v>45208</v>
      </c>
      <c r="D438" s="53">
        <f>('Log Returns'!B438*$B$2)+('Log Returns'!C438*$B$3)+('Log Returns'!D438*$B$4)+('Log Returns'!E438*$B$5)+('Log Returns'!F438*$B$6)</f>
        <v>-3.3892187217344823E-3</v>
      </c>
    </row>
    <row r="439" spans="3:4" x14ac:dyDescent="0.35">
      <c r="C439" s="2">
        <f>'Log Returns'!A439</f>
        <v>45209</v>
      </c>
      <c r="D439" s="53">
        <f>('Log Returns'!B439*$B$2)+('Log Returns'!C439*$B$3)+('Log Returns'!D439*$B$4)+('Log Returns'!E439*$B$5)+('Log Returns'!F439*$B$6)</f>
        <v>7.4670487036146245E-3</v>
      </c>
    </row>
    <row r="440" spans="3:4" x14ac:dyDescent="0.35">
      <c r="C440" s="2">
        <f>'Log Returns'!A440</f>
        <v>45210</v>
      </c>
      <c r="D440" s="53">
        <f>('Log Returns'!B440*$B$2)+('Log Returns'!C440*$B$3)+('Log Returns'!D440*$B$4)+('Log Returns'!E440*$B$5)+('Log Returns'!F440*$B$6)</f>
        <v>4.1252165569333876E-3</v>
      </c>
    </row>
    <row r="441" spans="3:4" x14ac:dyDescent="0.35">
      <c r="C441" s="2">
        <f>'Log Returns'!A441</f>
        <v>45211</v>
      </c>
      <c r="D441" s="53">
        <f>('Log Returns'!B441*$B$2)+('Log Returns'!C441*$B$3)+('Log Returns'!D441*$B$4)+('Log Returns'!E441*$B$5)+('Log Returns'!F441*$B$6)</f>
        <v>-5.9704084804678044E-3</v>
      </c>
    </row>
    <row r="442" spans="3:4" x14ac:dyDescent="0.35">
      <c r="C442" s="2">
        <f>'Log Returns'!A442</f>
        <v>45212</v>
      </c>
      <c r="D442" s="53">
        <f>('Log Returns'!B442*$B$2)+('Log Returns'!C442*$B$3)+('Log Returns'!D442*$B$4)+('Log Returns'!E442*$B$5)+('Log Returns'!F442*$B$6)</f>
        <v>-4.8291160308769846E-3</v>
      </c>
    </row>
    <row r="443" spans="3:4" x14ac:dyDescent="0.35">
      <c r="C443" s="2">
        <f>'Log Returns'!A443</f>
        <v>45215</v>
      </c>
      <c r="D443" s="53">
        <f>('Log Returns'!B443*$B$2)+('Log Returns'!C443*$B$3)+('Log Returns'!D443*$B$4)+('Log Returns'!E443*$B$5)+('Log Returns'!F443*$B$6)</f>
        <v>-2.3769268294697955E-3</v>
      </c>
    </row>
    <row r="444" spans="3:4" x14ac:dyDescent="0.35">
      <c r="C444" s="2">
        <f>'Log Returns'!A444</f>
        <v>45216</v>
      </c>
      <c r="D444" s="53">
        <f>('Log Returns'!B444*$B$2)+('Log Returns'!C444*$B$3)+('Log Returns'!D444*$B$4)+('Log Returns'!E444*$B$5)+('Log Returns'!F444*$B$6)</f>
        <v>3.6622766492466125E-3</v>
      </c>
    </row>
    <row r="445" spans="3:4" x14ac:dyDescent="0.35">
      <c r="C445" s="2">
        <f>'Log Returns'!A445</f>
        <v>45217</v>
      </c>
      <c r="D445" s="53">
        <f>('Log Returns'!B445*$B$2)+('Log Returns'!C445*$B$3)+('Log Returns'!D445*$B$4)+('Log Returns'!E445*$B$5)+('Log Returns'!F445*$B$6)</f>
        <v>-7.002068981403561E-3</v>
      </c>
    </row>
    <row r="446" spans="3:4" x14ac:dyDescent="0.35">
      <c r="C446" s="2">
        <f>'Log Returns'!A446</f>
        <v>45218</v>
      </c>
      <c r="D446" s="53">
        <f>('Log Returns'!B446*$B$2)+('Log Returns'!C446*$B$3)+('Log Returns'!D446*$B$4)+('Log Returns'!E446*$B$5)+('Log Returns'!F446*$B$6)</f>
        <v>-6.5843239824843001E-3</v>
      </c>
    </row>
    <row r="447" spans="3:4" x14ac:dyDescent="0.35">
      <c r="C447" s="2">
        <f>'Log Returns'!A447</f>
        <v>45219</v>
      </c>
      <c r="D447" s="53">
        <f>('Log Returns'!B447*$B$2)+('Log Returns'!C447*$B$3)+('Log Returns'!D447*$B$4)+('Log Returns'!E447*$B$5)+('Log Returns'!F447*$B$6)</f>
        <v>-5.3538677486835431E-3</v>
      </c>
    </row>
    <row r="448" spans="3:4" x14ac:dyDescent="0.35">
      <c r="C448" s="2">
        <f>'Log Returns'!A448</f>
        <v>45222</v>
      </c>
      <c r="D448" s="53">
        <f>('Log Returns'!B448*$B$2)+('Log Returns'!C448*$B$3)+('Log Returns'!D448*$B$4)+('Log Returns'!E448*$B$5)+('Log Returns'!F448*$B$6)</f>
        <v>-1.2359162669983669E-2</v>
      </c>
    </row>
    <row r="449" spans="3:4" x14ac:dyDescent="0.35">
      <c r="C449" s="2">
        <f>'Log Returns'!A449</f>
        <v>45224</v>
      </c>
      <c r="D449" s="53">
        <f>('Log Returns'!B449*$B$2)+('Log Returns'!C449*$B$3)+('Log Returns'!D449*$B$4)+('Log Returns'!E449*$B$5)+('Log Returns'!F449*$B$6)</f>
        <v>-1.1678157279546861E-2</v>
      </c>
    </row>
    <row r="450" spans="3:4" x14ac:dyDescent="0.35">
      <c r="C450" s="2">
        <f>'Log Returns'!A450</f>
        <v>45225</v>
      </c>
      <c r="D450" s="53">
        <f>('Log Returns'!B450*$B$2)+('Log Returns'!C450*$B$3)+('Log Returns'!D450*$B$4)+('Log Returns'!E450*$B$5)+('Log Returns'!F450*$B$6)</f>
        <v>-8.4028726008561986E-3</v>
      </c>
    </row>
    <row r="451" spans="3:4" x14ac:dyDescent="0.35">
      <c r="C451" s="2">
        <f>'Log Returns'!A451</f>
        <v>45226</v>
      </c>
      <c r="D451" s="53">
        <f>('Log Returns'!B451*$B$2)+('Log Returns'!C451*$B$3)+('Log Returns'!D451*$B$4)+('Log Returns'!E451*$B$5)+('Log Returns'!F451*$B$6)</f>
        <v>8.0227982413321342E-3</v>
      </c>
    </row>
    <row r="452" spans="3:4" x14ac:dyDescent="0.35">
      <c r="C452" s="2">
        <f>'Log Returns'!A452</f>
        <v>45229</v>
      </c>
      <c r="D452" s="53">
        <f>('Log Returns'!B452*$B$2)+('Log Returns'!C452*$B$3)+('Log Returns'!D452*$B$4)+('Log Returns'!E452*$B$5)+('Log Returns'!F452*$B$6)</f>
        <v>6.3603312024259426E-3</v>
      </c>
    </row>
    <row r="453" spans="3:4" x14ac:dyDescent="0.35">
      <c r="C453" s="2">
        <f>'Log Returns'!A453</f>
        <v>45230</v>
      </c>
      <c r="D453" s="53">
        <f>('Log Returns'!B453*$B$2)+('Log Returns'!C453*$B$3)+('Log Returns'!D453*$B$4)+('Log Returns'!E453*$B$5)+('Log Returns'!F453*$B$6)</f>
        <v>-7.0112235845863711E-3</v>
      </c>
    </row>
    <row r="454" spans="3:4" x14ac:dyDescent="0.35">
      <c r="C454" s="2">
        <f>'Log Returns'!A454</f>
        <v>45231</v>
      </c>
      <c r="D454" s="53">
        <f>('Log Returns'!B454*$B$2)+('Log Returns'!C454*$B$3)+('Log Returns'!D454*$B$4)+('Log Returns'!E454*$B$5)+('Log Returns'!F454*$B$6)</f>
        <v>-3.9619616469618946E-3</v>
      </c>
    </row>
    <row r="455" spans="3:4" x14ac:dyDescent="0.35">
      <c r="C455" s="2">
        <f>'Log Returns'!A455</f>
        <v>45232</v>
      </c>
      <c r="D455" s="53">
        <f>('Log Returns'!B455*$B$2)+('Log Returns'!C455*$B$3)+('Log Returns'!D455*$B$4)+('Log Returns'!E455*$B$5)+('Log Returns'!F455*$B$6)</f>
        <v>8.7887095556393891E-3</v>
      </c>
    </row>
    <row r="456" spans="3:4" x14ac:dyDescent="0.35">
      <c r="C456" s="2">
        <f>'Log Returns'!A456</f>
        <v>45233</v>
      </c>
      <c r="D456" s="53">
        <f>('Log Returns'!B456*$B$2)+('Log Returns'!C456*$B$3)+('Log Returns'!D456*$B$4)+('Log Returns'!E456*$B$5)+('Log Returns'!F456*$B$6)</f>
        <v>6.1118432775060091E-3</v>
      </c>
    </row>
    <row r="457" spans="3:4" x14ac:dyDescent="0.35">
      <c r="C457" s="2">
        <f>'Log Returns'!A457</f>
        <v>45236</v>
      </c>
      <c r="D457" s="53">
        <f>('Log Returns'!B457*$B$2)+('Log Returns'!C457*$B$3)+('Log Returns'!D457*$B$4)+('Log Returns'!E457*$B$5)+('Log Returns'!F457*$B$6)</f>
        <v>8.8907274241213675E-3</v>
      </c>
    </row>
    <row r="458" spans="3:4" x14ac:dyDescent="0.35">
      <c r="C458" s="2">
        <f>'Log Returns'!A458</f>
        <v>45237</v>
      </c>
      <c r="D458" s="53">
        <f>('Log Returns'!B458*$B$2)+('Log Returns'!C458*$B$3)+('Log Returns'!D458*$B$4)+('Log Returns'!E458*$B$5)+('Log Returns'!F458*$B$6)</f>
        <v>-2.4053207422819098E-3</v>
      </c>
    </row>
    <row r="459" spans="3:4" x14ac:dyDescent="0.35">
      <c r="C459" s="2">
        <f>'Log Returns'!A459</f>
        <v>45238</v>
      </c>
      <c r="D459" s="53">
        <f>('Log Returns'!B459*$B$2)+('Log Returns'!C459*$B$3)+('Log Returns'!D459*$B$4)+('Log Returns'!E459*$B$5)+('Log Returns'!F459*$B$6)</f>
        <v>-8.7588125864048036E-4</v>
      </c>
    </row>
    <row r="460" spans="3:4" x14ac:dyDescent="0.35">
      <c r="C460" s="2">
        <f>'Log Returns'!A460</f>
        <v>45239</v>
      </c>
      <c r="D460" s="53">
        <f>('Log Returns'!B460*$B$2)+('Log Returns'!C460*$B$3)+('Log Returns'!D460*$B$4)+('Log Returns'!E460*$B$5)+('Log Returns'!F460*$B$6)</f>
        <v>-7.377746544474633E-3</v>
      </c>
    </row>
    <row r="461" spans="3:4" x14ac:dyDescent="0.35">
      <c r="C461" s="2">
        <f>'Log Returns'!A461</f>
        <v>45240</v>
      </c>
      <c r="D461" s="53">
        <f>('Log Returns'!B461*$B$2)+('Log Returns'!C461*$B$3)+('Log Returns'!D461*$B$4)+('Log Returns'!E461*$B$5)+('Log Returns'!F461*$B$6)</f>
        <v>-7.846368484133075E-5</v>
      </c>
    </row>
    <row r="462" spans="3:4" x14ac:dyDescent="0.35">
      <c r="C462" s="2">
        <f>'Log Returns'!A462</f>
        <v>45242</v>
      </c>
      <c r="D462" s="53">
        <f>('Log Returns'!B462*$B$2)+('Log Returns'!C462*$B$3)+('Log Returns'!D462*$B$4)+('Log Returns'!E462*$B$5)+('Log Returns'!F462*$B$6)</f>
        <v>2.050043524727365E-2</v>
      </c>
    </row>
    <row r="463" spans="3:4" x14ac:dyDescent="0.35">
      <c r="C463" s="2">
        <f>'Log Returns'!A463</f>
        <v>45243</v>
      </c>
      <c r="D463" s="53">
        <f>('Log Returns'!B463*$B$2)+('Log Returns'!C463*$B$3)+('Log Returns'!D463*$B$4)+('Log Returns'!E463*$B$5)+('Log Returns'!F463*$B$6)</f>
        <v>-2.1093558108314515E-2</v>
      </c>
    </row>
    <row r="464" spans="3:4" x14ac:dyDescent="0.35">
      <c r="C464" s="2">
        <f>'Log Returns'!A464</f>
        <v>45245</v>
      </c>
      <c r="D464" s="53">
        <f>('Log Returns'!B464*$B$2)+('Log Returns'!C464*$B$3)+('Log Returns'!D464*$B$4)+('Log Returns'!E464*$B$5)+('Log Returns'!F464*$B$6)</f>
        <v>1.7342985177588144E-2</v>
      </c>
    </row>
    <row r="465" spans="3:4" x14ac:dyDescent="0.35">
      <c r="C465" s="2">
        <f>'Log Returns'!A465</f>
        <v>45246</v>
      </c>
      <c r="D465" s="53">
        <f>('Log Returns'!B465*$B$2)+('Log Returns'!C465*$B$3)+('Log Returns'!D465*$B$4)+('Log Returns'!E465*$B$5)+('Log Returns'!F465*$B$6)</f>
        <v>8.0164179279744053E-3</v>
      </c>
    </row>
    <row r="466" spans="3:4" x14ac:dyDescent="0.35">
      <c r="C466" s="2">
        <f>'Log Returns'!A466</f>
        <v>45247</v>
      </c>
      <c r="D466" s="53">
        <f>('Log Returns'!B466*$B$2)+('Log Returns'!C466*$B$3)+('Log Returns'!D466*$B$4)+('Log Returns'!E466*$B$5)+('Log Returns'!F466*$B$6)</f>
        <v>-3.9652206411089248E-3</v>
      </c>
    </row>
    <row r="467" spans="3:4" x14ac:dyDescent="0.35">
      <c r="C467" s="2">
        <f>'Log Returns'!A467</f>
        <v>45250</v>
      </c>
      <c r="D467" s="53">
        <f>('Log Returns'!B467*$B$2)+('Log Returns'!C467*$B$3)+('Log Returns'!D467*$B$4)+('Log Returns'!E467*$B$5)+('Log Returns'!F467*$B$6)</f>
        <v>-8.8834363327096994E-4</v>
      </c>
    </row>
    <row r="468" spans="3:4" x14ac:dyDescent="0.35">
      <c r="C468" s="2">
        <f>'Log Returns'!A468</f>
        <v>45251</v>
      </c>
      <c r="D468" s="53">
        <f>('Log Returns'!B468*$B$2)+('Log Returns'!C468*$B$3)+('Log Returns'!D468*$B$4)+('Log Returns'!E468*$B$5)+('Log Returns'!F468*$B$6)</f>
        <v>3.0532171436468926E-3</v>
      </c>
    </row>
    <row r="469" spans="3:4" x14ac:dyDescent="0.35">
      <c r="C469" s="2">
        <f>'Log Returns'!A469</f>
        <v>45252</v>
      </c>
      <c r="D469" s="53">
        <f>('Log Returns'!B469*$B$2)+('Log Returns'!C469*$B$3)+('Log Returns'!D469*$B$4)+('Log Returns'!E469*$B$5)+('Log Returns'!F469*$B$6)</f>
        <v>5.3581471687913981E-3</v>
      </c>
    </row>
    <row r="470" spans="3:4" x14ac:dyDescent="0.35">
      <c r="C470" s="2">
        <f>'Log Returns'!A470</f>
        <v>45253</v>
      </c>
      <c r="D470" s="53">
        <f>('Log Returns'!B470*$B$2)+('Log Returns'!C470*$B$3)+('Log Returns'!D470*$B$4)+('Log Returns'!E470*$B$5)+('Log Returns'!F470*$B$6)</f>
        <v>-1.458357993937984E-3</v>
      </c>
    </row>
    <row r="471" spans="3:4" x14ac:dyDescent="0.35">
      <c r="C471" s="2">
        <f>'Log Returns'!A471</f>
        <v>45254</v>
      </c>
      <c r="D471" s="53">
        <f>('Log Returns'!B471*$B$2)+('Log Returns'!C471*$B$3)+('Log Returns'!D471*$B$4)+('Log Returns'!E471*$B$5)+('Log Returns'!F471*$B$6)</f>
        <v>-4.4970191963549519E-3</v>
      </c>
    </row>
    <row r="472" spans="3:4" x14ac:dyDescent="0.35">
      <c r="C472" s="2">
        <f>'Log Returns'!A472</f>
        <v>45258</v>
      </c>
      <c r="D472" s="53">
        <f>('Log Returns'!B472*$B$2)+('Log Returns'!C472*$B$3)+('Log Returns'!D472*$B$4)+('Log Returns'!E472*$B$5)+('Log Returns'!F472*$B$6)</f>
        <v>-4.7684538771087105E-4</v>
      </c>
    </row>
    <row r="473" spans="3:4" x14ac:dyDescent="0.35">
      <c r="C473" s="2">
        <f>'Log Returns'!A473</f>
        <v>45259</v>
      </c>
      <c r="D473" s="53">
        <f>('Log Returns'!B473*$B$2)+('Log Returns'!C473*$B$3)+('Log Returns'!D473*$B$4)+('Log Returns'!E473*$B$5)+('Log Returns'!F473*$B$6)</f>
        <v>9.2727137365218853E-3</v>
      </c>
    </row>
    <row r="474" spans="3:4" x14ac:dyDescent="0.35">
      <c r="C474" s="2">
        <f>'Log Returns'!A474</f>
        <v>45260</v>
      </c>
      <c r="D474" s="53">
        <f>('Log Returns'!B474*$B$2)+('Log Returns'!C474*$B$3)+('Log Returns'!D474*$B$4)+('Log Returns'!E474*$B$5)+('Log Returns'!F474*$B$6)</f>
        <v>-5.6890379453986908E-3</v>
      </c>
    </row>
    <row r="475" spans="3:4" x14ac:dyDescent="0.35">
      <c r="C475" s="2">
        <f>'Log Returns'!A475</f>
        <v>45261</v>
      </c>
      <c r="D475" s="53">
        <f>('Log Returns'!B475*$B$2)+('Log Returns'!C475*$B$3)+('Log Returns'!D475*$B$4)+('Log Returns'!E475*$B$5)+('Log Returns'!F475*$B$6)</f>
        <v>1.1220815402232583E-2</v>
      </c>
    </row>
    <row r="476" spans="3:4" x14ac:dyDescent="0.35">
      <c r="C476" s="2">
        <f>'Log Returns'!A476</f>
        <v>45264</v>
      </c>
      <c r="D476" s="53">
        <f>('Log Returns'!B476*$B$2)+('Log Returns'!C476*$B$3)+('Log Returns'!D476*$B$4)+('Log Returns'!E476*$B$5)+('Log Returns'!F476*$B$6)</f>
        <v>1.491727366188584E-2</v>
      </c>
    </row>
    <row r="477" spans="3:4" x14ac:dyDescent="0.35">
      <c r="C477" s="2">
        <f>'Log Returns'!A477</f>
        <v>45265</v>
      </c>
      <c r="D477" s="53">
        <f>('Log Returns'!B477*$B$2)+('Log Returns'!C477*$B$3)+('Log Returns'!D477*$B$4)+('Log Returns'!E477*$B$5)+('Log Returns'!F477*$B$6)</f>
        <v>4.5302072926135329E-3</v>
      </c>
    </row>
    <row r="478" spans="3:4" x14ac:dyDescent="0.35">
      <c r="C478" s="2">
        <f>'Log Returns'!A478</f>
        <v>45266</v>
      </c>
      <c r="D478" s="53">
        <f>('Log Returns'!B478*$B$2)+('Log Returns'!C478*$B$3)+('Log Returns'!D478*$B$4)+('Log Returns'!E478*$B$5)+('Log Returns'!F478*$B$6)</f>
        <v>1.1755506436964297E-2</v>
      </c>
    </row>
    <row r="479" spans="3:4" x14ac:dyDescent="0.35">
      <c r="C479" s="2">
        <f>'Log Returns'!A479</f>
        <v>45267</v>
      </c>
      <c r="D479" s="53">
        <f>('Log Returns'!B479*$B$2)+('Log Returns'!C479*$B$3)+('Log Returns'!D479*$B$4)+('Log Returns'!E479*$B$5)+('Log Returns'!F479*$B$6)</f>
        <v>-3.9565612345553803E-3</v>
      </c>
    </row>
    <row r="480" spans="3:4" x14ac:dyDescent="0.35">
      <c r="C480" s="2">
        <f>'Log Returns'!A480</f>
        <v>45268</v>
      </c>
      <c r="D480" s="53">
        <f>('Log Returns'!B480*$B$2)+('Log Returns'!C480*$B$3)+('Log Returns'!D480*$B$4)+('Log Returns'!E480*$B$5)+('Log Returns'!F480*$B$6)</f>
        <v>2.3709351631995522E-3</v>
      </c>
    </row>
    <row r="481" spans="3:4" x14ac:dyDescent="0.35">
      <c r="C481" s="2">
        <f>'Log Returns'!A481</f>
        <v>45271</v>
      </c>
      <c r="D481" s="53">
        <f>('Log Returns'!B481*$B$2)+('Log Returns'!C481*$B$3)+('Log Returns'!D481*$B$4)+('Log Returns'!E481*$B$5)+('Log Returns'!F481*$B$6)</f>
        <v>3.5255588048167265E-3</v>
      </c>
    </row>
    <row r="482" spans="3:4" x14ac:dyDescent="0.35">
      <c r="C482" s="2">
        <f>'Log Returns'!A482</f>
        <v>45272</v>
      </c>
      <c r="D482" s="53">
        <f>('Log Returns'!B482*$B$2)+('Log Returns'!C482*$B$3)+('Log Returns'!D482*$B$4)+('Log Returns'!E482*$B$5)+('Log Returns'!F482*$B$6)</f>
        <v>-2.9608437935464988E-3</v>
      </c>
    </row>
    <row r="483" spans="3:4" x14ac:dyDescent="0.35">
      <c r="C483" s="2">
        <f>'Log Returns'!A483</f>
        <v>45273</v>
      </c>
      <c r="D483" s="53">
        <f>('Log Returns'!B483*$B$2)+('Log Returns'!C483*$B$3)+('Log Returns'!D483*$B$4)+('Log Returns'!E483*$B$5)+('Log Returns'!F483*$B$6)</f>
        <v>-6.4435110173771707E-3</v>
      </c>
    </row>
    <row r="484" spans="3:4" x14ac:dyDescent="0.35">
      <c r="C484" s="2">
        <f>'Log Returns'!A484</f>
        <v>45274</v>
      </c>
      <c r="D484" s="53">
        <f>('Log Returns'!B484*$B$2)+('Log Returns'!C484*$B$3)+('Log Returns'!D484*$B$4)+('Log Returns'!E484*$B$5)+('Log Returns'!F484*$B$6)</f>
        <v>1.9440928620878591E-2</v>
      </c>
    </row>
    <row r="485" spans="3:4" x14ac:dyDescent="0.35">
      <c r="C485" s="2">
        <f>'Log Returns'!A485</f>
        <v>45275</v>
      </c>
      <c r="D485" s="53">
        <f>('Log Returns'!B485*$B$2)+('Log Returns'!C485*$B$3)+('Log Returns'!D485*$B$4)+('Log Returns'!E485*$B$5)+('Log Returns'!F485*$B$6)</f>
        <v>2.2725418581646988E-2</v>
      </c>
    </row>
    <row r="486" spans="3:4" x14ac:dyDescent="0.35">
      <c r="C486" s="2">
        <f>'Log Returns'!A486</f>
        <v>45278</v>
      </c>
      <c r="D486" s="53">
        <f>('Log Returns'!B486*$B$2)+('Log Returns'!C486*$B$3)+('Log Returns'!D486*$B$4)+('Log Returns'!E486*$B$5)+('Log Returns'!F486*$B$6)</f>
        <v>-5.8328087336530741E-3</v>
      </c>
    </row>
    <row r="487" spans="3:4" x14ac:dyDescent="0.35">
      <c r="C487" s="2">
        <f>'Log Returns'!A487</f>
        <v>45279</v>
      </c>
      <c r="D487" s="53">
        <f>('Log Returns'!B487*$B$2)+('Log Returns'!C487*$B$3)+('Log Returns'!D487*$B$4)+('Log Returns'!E487*$B$5)+('Log Returns'!F487*$B$6)</f>
        <v>6.8951066694830903E-4</v>
      </c>
    </row>
    <row r="488" spans="3:4" x14ac:dyDescent="0.35">
      <c r="C488" s="2">
        <f>'Log Returns'!A488</f>
        <v>45280</v>
      </c>
      <c r="D488" s="53">
        <f>('Log Returns'!B488*$B$2)+('Log Returns'!C488*$B$3)+('Log Returns'!D488*$B$4)+('Log Returns'!E488*$B$5)+('Log Returns'!F488*$B$6)</f>
        <v>-1.1161976003571609E-2</v>
      </c>
    </row>
    <row r="489" spans="3:4" x14ac:dyDescent="0.35">
      <c r="C489" s="2">
        <f>'Log Returns'!A489</f>
        <v>45281</v>
      </c>
      <c r="D489" s="53">
        <f>('Log Returns'!B489*$B$2)+('Log Returns'!C489*$B$3)+('Log Returns'!D489*$B$4)+('Log Returns'!E489*$B$5)+('Log Returns'!F489*$B$6)</f>
        <v>2.8787643992738E-3</v>
      </c>
    </row>
    <row r="490" spans="3:4" x14ac:dyDescent="0.35">
      <c r="C490" s="2">
        <f>'Log Returns'!A490</f>
        <v>45282</v>
      </c>
      <c r="D490" s="53">
        <f>('Log Returns'!B490*$B$2)+('Log Returns'!C490*$B$3)+('Log Returns'!D490*$B$4)+('Log Returns'!E490*$B$5)+('Log Returns'!F490*$B$6)</f>
        <v>5.2197387935411666E-3</v>
      </c>
    </row>
    <row r="491" spans="3:4" x14ac:dyDescent="0.35">
      <c r="C491" s="2">
        <f>'Log Returns'!A491</f>
        <v>45286</v>
      </c>
      <c r="D491" s="53">
        <f>('Log Returns'!B491*$B$2)+('Log Returns'!C491*$B$3)+('Log Returns'!D491*$B$4)+('Log Returns'!E491*$B$5)+('Log Returns'!F491*$B$6)</f>
        <v>-2.2137074054270657E-3</v>
      </c>
    </row>
    <row r="492" spans="3:4" x14ac:dyDescent="0.35">
      <c r="C492" s="2">
        <f>'Log Returns'!A492</f>
        <v>45287</v>
      </c>
      <c r="D492" s="53">
        <f>('Log Returns'!B492*$B$2)+('Log Returns'!C492*$B$3)+('Log Returns'!D492*$B$4)+('Log Returns'!E492*$B$5)+('Log Returns'!F492*$B$6)</f>
        <v>6.1953306407177729E-3</v>
      </c>
    </row>
    <row r="493" spans="3:4" x14ac:dyDescent="0.35">
      <c r="C493" s="2">
        <f>'Log Returns'!A493</f>
        <v>45288</v>
      </c>
      <c r="D493" s="53">
        <f>('Log Returns'!B493*$B$2)+('Log Returns'!C493*$B$3)+('Log Returns'!D493*$B$4)+('Log Returns'!E493*$B$5)+('Log Returns'!F493*$B$6)</f>
        <v>4.0479743654484313E-3</v>
      </c>
    </row>
    <row r="494" spans="3:4" x14ac:dyDescent="0.35">
      <c r="C494" s="2">
        <f>'Log Returns'!A494</f>
        <v>45289</v>
      </c>
      <c r="D494" s="53">
        <f>('Log Returns'!B494*$B$2)+('Log Returns'!C494*$B$3)+('Log Returns'!D494*$B$4)+('Log Returns'!E494*$B$5)+('Log Returns'!F494*$B$6)</f>
        <v>-7.2005057761350758E-3</v>
      </c>
    </row>
    <row r="495" spans="3:4" x14ac:dyDescent="0.35">
      <c r="C495" s="2">
        <f>'Log Returns'!A495</f>
        <v>45292</v>
      </c>
      <c r="D495" s="53">
        <f>('Log Returns'!B495*$B$2)+('Log Returns'!C495*$B$3)+('Log Returns'!D495*$B$4)+('Log Returns'!E495*$B$5)+('Log Returns'!F495*$B$6)</f>
        <v>5.5555383193305651E-3</v>
      </c>
    </row>
    <row r="496" spans="3:4" x14ac:dyDescent="0.35">
      <c r="C496" s="2">
        <f>'Log Returns'!A496</f>
        <v>45293</v>
      </c>
      <c r="D496" s="53">
        <f>('Log Returns'!B496*$B$2)+('Log Returns'!C496*$B$3)+('Log Returns'!D496*$B$4)+('Log Returns'!E496*$B$5)+('Log Returns'!F496*$B$6)</f>
        <v>-4.4982857942739022E-3</v>
      </c>
    </row>
    <row r="497" spans="3:4" x14ac:dyDescent="0.35">
      <c r="C497" s="2">
        <f>'Log Returns'!A497</f>
        <v>45294</v>
      </c>
      <c r="D497" s="53">
        <f>('Log Returns'!B497*$B$2)+('Log Returns'!C497*$B$3)+('Log Returns'!D497*$B$4)+('Log Returns'!E497*$B$5)+('Log Returns'!F497*$B$6)</f>
        <v>-9.6777600655586372E-3</v>
      </c>
    </row>
    <row r="498" spans="3:4" x14ac:dyDescent="0.35">
      <c r="C498" s="2">
        <f>'Log Returns'!A498</f>
        <v>45295</v>
      </c>
      <c r="D498" s="53">
        <f>('Log Returns'!B498*$B$2)+('Log Returns'!C498*$B$3)+('Log Returns'!D498*$B$4)+('Log Returns'!E498*$B$5)+('Log Returns'!F498*$B$6)</f>
        <v>2.9721347720249253E-3</v>
      </c>
    </row>
    <row r="499" spans="3:4" x14ac:dyDescent="0.35">
      <c r="C499" s="2">
        <f>'Log Returns'!A499</f>
        <v>45296</v>
      </c>
      <c r="D499" s="53">
        <f>('Log Returns'!B499*$B$2)+('Log Returns'!C499*$B$3)+('Log Returns'!D499*$B$4)+('Log Returns'!E499*$B$5)+('Log Returns'!F499*$B$6)</f>
        <v>7.5888680470796834E-3</v>
      </c>
    </row>
    <row r="500" spans="3:4" x14ac:dyDescent="0.35">
      <c r="C500" s="2">
        <f>'Log Returns'!A500</f>
        <v>45299</v>
      </c>
      <c r="D500" s="53">
        <f>('Log Returns'!B500*$B$2)+('Log Returns'!C500*$B$3)+('Log Returns'!D500*$B$4)+('Log Returns'!E500*$B$5)+('Log Returns'!F500*$B$6)</f>
        <v>-1.202128063024673E-2</v>
      </c>
    </row>
    <row r="501" spans="3:4" x14ac:dyDescent="0.35">
      <c r="C501" s="2">
        <f>'Log Returns'!A501</f>
        <v>45300</v>
      </c>
      <c r="D501" s="53">
        <f>('Log Returns'!B501*$B$2)+('Log Returns'!C501*$B$3)+('Log Returns'!D501*$B$4)+('Log Returns'!E501*$B$5)+('Log Returns'!F501*$B$6)</f>
        <v>8.1866433915925806E-5</v>
      </c>
    </row>
    <row r="502" spans="3:4" x14ac:dyDescent="0.35">
      <c r="C502" s="2">
        <f>'Log Returns'!A502</f>
        <v>45301</v>
      </c>
      <c r="D502" s="53">
        <f>('Log Returns'!B502*$B$2)+('Log Returns'!C502*$B$3)+('Log Returns'!D502*$B$4)+('Log Returns'!E502*$B$5)+('Log Returns'!F502*$B$6)</f>
        <v>7.4995775589305888E-3</v>
      </c>
    </row>
    <row r="503" spans="3:4" x14ac:dyDescent="0.35">
      <c r="C503" s="2">
        <f>'Log Returns'!A503</f>
        <v>45302</v>
      </c>
      <c r="D503" s="53">
        <f>('Log Returns'!B503*$B$2)+('Log Returns'!C503*$B$3)+('Log Returns'!D503*$B$4)+('Log Returns'!E503*$B$5)+('Log Returns'!F503*$B$6)</f>
        <v>2.3240780098786372E-3</v>
      </c>
    </row>
    <row r="504" spans="3:4" x14ac:dyDescent="0.35">
      <c r="C504" s="2">
        <f>'Log Returns'!A504</f>
        <v>45303</v>
      </c>
      <c r="D504" s="53">
        <f>('Log Returns'!B504*$B$2)+('Log Returns'!C504*$B$3)+('Log Returns'!D504*$B$4)+('Log Returns'!E504*$B$5)+('Log Returns'!F504*$B$6)</f>
        <v>2.8805701425796096E-2</v>
      </c>
    </row>
    <row r="505" spans="3:4" x14ac:dyDescent="0.35">
      <c r="C505" s="2">
        <f>'Log Returns'!A505</f>
        <v>45306</v>
      </c>
      <c r="D505" s="53">
        <f>('Log Returns'!B505*$B$2)+('Log Returns'!C505*$B$3)+('Log Returns'!D505*$B$4)+('Log Returns'!E505*$B$5)+('Log Returns'!F505*$B$6)</f>
        <v>1.0938151914385985E-2</v>
      </c>
    </row>
    <row r="506" spans="3:4" x14ac:dyDescent="0.35">
      <c r="C506" s="2">
        <f>'Log Returns'!A506</f>
        <v>45307</v>
      </c>
      <c r="D506" s="53">
        <f>('Log Returns'!B506*$B$2)+('Log Returns'!C506*$B$3)+('Log Returns'!D506*$B$4)+('Log Returns'!E506*$B$5)+('Log Returns'!F506*$B$6)</f>
        <v>-5.6706525650750458E-3</v>
      </c>
    </row>
    <row r="507" spans="3:4" x14ac:dyDescent="0.35">
      <c r="C507" s="2">
        <f>'Log Returns'!A507</f>
        <v>45308</v>
      </c>
      <c r="D507" s="53">
        <f>('Log Returns'!B507*$B$2)+('Log Returns'!C507*$B$3)+('Log Returns'!D507*$B$4)+('Log Returns'!E507*$B$5)+('Log Returns'!F507*$B$6)</f>
        <v>-7.5617499998006689E-3</v>
      </c>
    </row>
    <row r="508" spans="3:4" x14ac:dyDescent="0.35">
      <c r="C508" s="2">
        <f>'Log Returns'!A508</f>
        <v>45309</v>
      </c>
      <c r="D508" s="53">
        <f>('Log Returns'!B508*$B$2)+('Log Returns'!C508*$B$3)+('Log Returns'!D508*$B$4)+('Log Returns'!E508*$B$5)+('Log Returns'!F508*$B$6)</f>
        <v>2.6157125127725138E-3</v>
      </c>
    </row>
    <row r="509" spans="3:4" x14ac:dyDescent="0.35">
      <c r="C509" s="2">
        <f>'Log Returns'!A509</f>
        <v>45310</v>
      </c>
      <c r="D509" s="53">
        <f>('Log Returns'!B509*$B$2)+('Log Returns'!C509*$B$3)+('Log Returns'!D509*$B$4)+('Log Returns'!E509*$B$5)+('Log Returns'!F509*$B$6)</f>
        <v>1.0075871253176128E-2</v>
      </c>
    </row>
    <row r="510" spans="3:4" x14ac:dyDescent="0.35">
      <c r="C510" s="2">
        <f>'Log Returns'!A510</f>
        <v>45311</v>
      </c>
      <c r="D510" s="53">
        <f>('Log Returns'!B510*$B$2)+('Log Returns'!C510*$B$3)+('Log Returns'!D510*$B$4)+('Log Returns'!E510*$B$5)+('Log Returns'!F510*$B$6)</f>
        <v>5.7338857017928124E-3</v>
      </c>
    </row>
    <row r="511" spans="3:4" x14ac:dyDescent="0.35">
      <c r="C511" s="2">
        <f>'Log Returns'!A511</f>
        <v>45314</v>
      </c>
      <c r="D511" s="53">
        <f>('Log Returns'!B511*$B$2)+('Log Returns'!C511*$B$3)+('Log Returns'!D511*$B$4)+('Log Returns'!E511*$B$5)+('Log Returns'!F511*$B$6)</f>
        <v>-1.7275998780296734E-2</v>
      </c>
    </row>
    <row r="512" spans="3:4" x14ac:dyDescent="0.35">
      <c r="C512" s="2">
        <f>'Log Returns'!A512</f>
        <v>45315</v>
      </c>
      <c r="D512" s="53">
        <f>('Log Returns'!B512*$B$2)+('Log Returns'!C512*$B$3)+('Log Returns'!D512*$B$4)+('Log Returns'!E512*$B$5)+('Log Returns'!F512*$B$6)</f>
        <v>1.4231088837031274E-3</v>
      </c>
    </row>
    <row r="513" spans="3:4" x14ac:dyDescent="0.35">
      <c r="C513" s="2">
        <f>'Log Returns'!A513</f>
        <v>45316</v>
      </c>
      <c r="D513" s="53">
        <f>('Log Returns'!B513*$B$2)+('Log Returns'!C513*$B$3)+('Log Returns'!D513*$B$4)+('Log Returns'!E513*$B$5)+('Log Returns'!F513*$B$6)</f>
        <v>-2.3553404883355014E-3</v>
      </c>
    </row>
    <row r="514" spans="3:4" x14ac:dyDescent="0.35">
      <c r="C514" s="2">
        <f>'Log Returns'!A514</f>
        <v>45320</v>
      </c>
      <c r="D514" s="53">
        <f>('Log Returns'!B514*$B$2)+('Log Returns'!C514*$B$3)+('Log Returns'!D514*$B$4)+('Log Returns'!E514*$B$5)+('Log Returns'!F514*$B$6)</f>
        <v>1.0266948951533033E-2</v>
      </c>
    </row>
    <row r="515" spans="3:4" x14ac:dyDescent="0.35">
      <c r="C515" s="2">
        <f>'Log Returns'!A515</f>
        <v>45321</v>
      </c>
      <c r="D515" s="53">
        <f>('Log Returns'!B515*$B$2)+('Log Returns'!C515*$B$3)+('Log Returns'!D515*$B$4)+('Log Returns'!E515*$B$5)+('Log Returns'!F515*$B$6)</f>
        <v>-1.15072475562796E-2</v>
      </c>
    </row>
    <row r="516" spans="3:4" x14ac:dyDescent="0.35">
      <c r="C516" s="2">
        <f>'Log Returns'!A516</f>
        <v>45322</v>
      </c>
      <c r="D516" s="53">
        <f>('Log Returns'!B516*$B$2)+('Log Returns'!C516*$B$3)+('Log Returns'!D516*$B$4)+('Log Returns'!E516*$B$5)+('Log Returns'!F516*$B$6)</f>
        <v>8.4234378974478285E-3</v>
      </c>
    </row>
    <row r="517" spans="3:4" x14ac:dyDescent="0.35">
      <c r="C517" s="2">
        <f>'Log Returns'!A517</f>
        <v>45323</v>
      </c>
      <c r="D517" s="53">
        <f>('Log Returns'!B517*$B$2)+('Log Returns'!C517*$B$3)+('Log Returns'!D517*$B$4)+('Log Returns'!E517*$B$5)+('Log Returns'!F517*$B$6)</f>
        <v>1.5581403119165854E-3</v>
      </c>
    </row>
    <row r="518" spans="3:4" x14ac:dyDescent="0.35">
      <c r="C518" s="2">
        <f>'Log Returns'!A518</f>
        <v>45324</v>
      </c>
      <c r="D518" s="53">
        <f>('Log Returns'!B518*$B$2)+('Log Returns'!C518*$B$3)+('Log Returns'!D518*$B$4)+('Log Returns'!E518*$B$5)+('Log Returns'!F518*$B$6)</f>
        <v>1.2883748825588194E-2</v>
      </c>
    </row>
    <row r="519" spans="3:4" x14ac:dyDescent="0.35">
      <c r="C519" s="2">
        <f>'Log Returns'!A519</f>
        <v>45327</v>
      </c>
      <c r="D519" s="53">
        <f>('Log Returns'!B519*$B$2)+('Log Returns'!C519*$B$3)+('Log Returns'!D519*$B$4)+('Log Returns'!E519*$B$5)+('Log Returns'!F519*$B$6)</f>
        <v>-3.9854666237102059E-3</v>
      </c>
    </row>
    <row r="520" spans="3:4" x14ac:dyDescent="0.35">
      <c r="C520" s="2">
        <f>'Log Returns'!A520</f>
        <v>45328</v>
      </c>
      <c r="D520" s="53">
        <f>('Log Returns'!B520*$B$2)+('Log Returns'!C520*$B$3)+('Log Returns'!D520*$B$4)+('Log Returns'!E520*$B$5)+('Log Returns'!F520*$B$6)</f>
        <v>8.9138471633231006E-3</v>
      </c>
    </row>
    <row r="521" spans="3:4" x14ac:dyDescent="0.35">
      <c r="C521" s="2">
        <f>'Log Returns'!A521</f>
        <v>45329</v>
      </c>
      <c r="D521" s="53">
        <f>('Log Returns'!B521*$B$2)+('Log Returns'!C521*$B$3)+('Log Returns'!D521*$B$4)+('Log Returns'!E521*$B$5)+('Log Returns'!F521*$B$6)</f>
        <v>-5.3751893831684699E-3</v>
      </c>
    </row>
    <row r="522" spans="3:4" x14ac:dyDescent="0.35">
      <c r="C522" s="2">
        <f>'Log Returns'!A522</f>
        <v>45330</v>
      </c>
      <c r="D522" s="53">
        <f>('Log Returns'!B522*$B$2)+('Log Returns'!C522*$B$3)+('Log Returns'!D522*$B$4)+('Log Returns'!E522*$B$5)+('Log Returns'!F522*$B$6)</f>
        <v>-1.131085831664418E-2</v>
      </c>
    </row>
    <row r="523" spans="3:4" x14ac:dyDescent="0.35">
      <c r="C523" s="2">
        <f>'Log Returns'!A523</f>
        <v>45331</v>
      </c>
      <c r="D523" s="53">
        <f>('Log Returns'!B523*$B$2)+('Log Returns'!C523*$B$3)+('Log Returns'!D523*$B$4)+('Log Returns'!E523*$B$5)+('Log Returns'!F523*$B$6)</f>
        <v>3.4705240638666776E-3</v>
      </c>
    </row>
    <row r="524" spans="3:4" x14ac:dyDescent="0.35">
      <c r="C524" s="2">
        <f>'Log Returns'!A524</f>
        <v>45334</v>
      </c>
      <c r="D524" s="53">
        <f>('Log Returns'!B524*$B$2)+('Log Returns'!C524*$B$3)+('Log Returns'!D524*$B$4)+('Log Returns'!E524*$B$5)+('Log Returns'!F524*$B$6)</f>
        <v>-7.6145376844158801E-3</v>
      </c>
    </row>
    <row r="525" spans="3:4" x14ac:dyDescent="0.35">
      <c r="C525" s="2">
        <f>'Log Returns'!A525</f>
        <v>45335</v>
      </c>
      <c r="D525" s="53">
        <f>('Log Returns'!B525*$B$2)+('Log Returns'!C525*$B$3)+('Log Returns'!D525*$B$4)+('Log Returns'!E525*$B$5)+('Log Returns'!F525*$B$6)</f>
        <v>8.3203569571237909E-3</v>
      </c>
    </row>
    <row r="526" spans="3:4" x14ac:dyDescent="0.35">
      <c r="C526" s="2">
        <f>'Log Returns'!A526</f>
        <v>45336</v>
      </c>
      <c r="D526" s="53">
        <f>('Log Returns'!B526*$B$2)+('Log Returns'!C526*$B$3)+('Log Returns'!D526*$B$4)+('Log Returns'!E526*$B$5)+('Log Returns'!F526*$B$6)</f>
        <v>5.3775124227507017E-4</v>
      </c>
    </row>
    <row r="527" spans="3:4" x14ac:dyDescent="0.35">
      <c r="C527" s="2">
        <f>'Log Returns'!A527</f>
        <v>45337</v>
      </c>
      <c r="D527" s="53">
        <f>('Log Returns'!B527*$B$2)+('Log Returns'!C527*$B$3)+('Log Returns'!D527*$B$4)+('Log Returns'!E527*$B$5)+('Log Returns'!F527*$B$6)</f>
        <v>-5.0297374284845216E-3</v>
      </c>
    </row>
    <row r="528" spans="3:4" x14ac:dyDescent="0.35">
      <c r="C528" s="2">
        <f>'Log Returns'!A528</f>
        <v>45338</v>
      </c>
      <c r="D528" s="53">
        <f>('Log Returns'!B528*$B$2)+('Log Returns'!C528*$B$3)+('Log Returns'!D528*$B$4)+('Log Returns'!E528*$B$5)+('Log Returns'!F528*$B$6)</f>
        <v>4.4852459317339787E-3</v>
      </c>
    </row>
    <row r="529" spans="3:4" x14ac:dyDescent="0.35">
      <c r="C529" s="2">
        <f>'Log Returns'!A529</f>
        <v>45341</v>
      </c>
      <c r="D529" s="53">
        <f>('Log Returns'!B529*$B$2)+('Log Returns'!C529*$B$3)+('Log Returns'!D529*$B$4)+('Log Returns'!E529*$B$5)+('Log Returns'!F529*$B$6)</f>
        <v>6.669833661487305E-3</v>
      </c>
    </row>
    <row r="530" spans="3:4" x14ac:dyDescent="0.35">
      <c r="C530" s="2">
        <f>'Log Returns'!A530</f>
        <v>45342</v>
      </c>
      <c r="D530" s="53">
        <f>('Log Returns'!B530*$B$2)+('Log Returns'!C530*$B$3)+('Log Returns'!D530*$B$4)+('Log Returns'!E530*$B$5)+('Log Returns'!F530*$B$6)</f>
        <v>-6.3025231866347302E-3</v>
      </c>
    </row>
    <row r="531" spans="3:4" x14ac:dyDescent="0.35">
      <c r="C531" s="2">
        <f>'Log Returns'!A531</f>
        <v>45343</v>
      </c>
      <c r="D531" s="53">
        <f>('Log Returns'!B531*$B$2)+('Log Returns'!C531*$B$3)+('Log Returns'!D531*$B$4)+('Log Returns'!E531*$B$5)+('Log Returns'!F531*$B$6)</f>
        <v>-6.7163227297895112E-3</v>
      </c>
    </row>
    <row r="532" spans="3:4" x14ac:dyDescent="0.35">
      <c r="C532" s="2">
        <f>'Log Returns'!A532</f>
        <v>45344</v>
      </c>
      <c r="D532" s="53">
        <f>('Log Returns'!B532*$B$2)+('Log Returns'!C532*$B$3)+('Log Returns'!D532*$B$4)+('Log Returns'!E532*$B$5)+('Log Returns'!F532*$B$6)</f>
        <v>1.7200240836972171E-2</v>
      </c>
    </row>
    <row r="533" spans="3:4" x14ac:dyDescent="0.35">
      <c r="C533" s="2">
        <f>'Log Returns'!A533</f>
        <v>45345</v>
      </c>
      <c r="D533" s="53">
        <f>('Log Returns'!B533*$B$2)+('Log Returns'!C533*$B$3)+('Log Returns'!D533*$B$4)+('Log Returns'!E533*$B$5)+('Log Returns'!F533*$B$6)</f>
        <v>-2.4028952332074676E-3</v>
      </c>
    </row>
    <row r="534" spans="3:4" x14ac:dyDescent="0.35">
      <c r="C534" s="2">
        <f>'Log Returns'!A534</f>
        <v>45348</v>
      </c>
      <c r="D534" s="53">
        <f>('Log Returns'!B534*$B$2)+('Log Returns'!C534*$B$3)+('Log Returns'!D534*$B$4)+('Log Returns'!E534*$B$5)+('Log Returns'!F534*$B$6)</f>
        <v>-7.797670681601282E-3</v>
      </c>
    </row>
    <row r="535" spans="3:4" x14ac:dyDescent="0.35">
      <c r="C535" s="2">
        <f>'Log Returns'!A535</f>
        <v>45349</v>
      </c>
      <c r="D535" s="53">
        <f>('Log Returns'!B535*$B$2)+('Log Returns'!C535*$B$3)+('Log Returns'!D535*$B$4)+('Log Returns'!E535*$B$5)+('Log Returns'!F535*$B$6)</f>
        <v>7.3744286065850232E-3</v>
      </c>
    </row>
    <row r="536" spans="3:4" x14ac:dyDescent="0.35">
      <c r="C536" s="2">
        <f>'Log Returns'!A536</f>
        <v>45350</v>
      </c>
      <c r="D536" s="53">
        <f>('Log Returns'!B536*$B$2)+('Log Returns'!C536*$B$3)+('Log Returns'!D536*$B$4)+('Log Returns'!E536*$B$5)+('Log Returns'!F536*$B$6)</f>
        <v>-6.5048720870783385E-3</v>
      </c>
    </row>
    <row r="537" spans="3:4" x14ac:dyDescent="0.35">
      <c r="C537" s="2">
        <f>'Log Returns'!A537</f>
        <v>45351</v>
      </c>
      <c r="D537" s="53">
        <f>('Log Returns'!B537*$B$2)+('Log Returns'!C537*$B$3)+('Log Returns'!D537*$B$4)+('Log Returns'!E537*$B$5)+('Log Returns'!F537*$B$6)</f>
        <v>2.2630124487381604E-5</v>
      </c>
    </row>
    <row r="538" spans="3:4" x14ac:dyDescent="0.35">
      <c r="C538" s="2">
        <f>'Log Returns'!A538</f>
        <v>45352</v>
      </c>
      <c r="D538" s="53">
        <f>('Log Returns'!B538*$B$2)+('Log Returns'!C538*$B$3)+('Log Returns'!D538*$B$4)+('Log Returns'!E538*$B$5)+('Log Returns'!F538*$B$6)</f>
        <v>9.9601824109355856E-3</v>
      </c>
    </row>
    <row r="539" spans="3:4" x14ac:dyDescent="0.35">
      <c r="C539" s="2">
        <f>'Log Returns'!A539</f>
        <v>45353</v>
      </c>
      <c r="D539" s="53">
        <f>('Log Returns'!B539*$B$2)+('Log Returns'!C539*$B$3)+('Log Returns'!D539*$B$4)+('Log Returns'!E539*$B$5)+('Log Returns'!F539*$B$6)</f>
        <v>1.3726046040438391E-2</v>
      </c>
    </row>
    <row r="540" spans="3:4" x14ac:dyDescent="0.35">
      <c r="C540" s="2">
        <f>'Log Returns'!A540</f>
        <v>45355</v>
      </c>
      <c r="D540" s="53">
        <f>('Log Returns'!B540*$B$2)+('Log Returns'!C540*$B$3)+('Log Returns'!D540*$B$4)+('Log Returns'!E540*$B$5)+('Log Returns'!F540*$B$6)</f>
        <v>-1.3679741297741353E-2</v>
      </c>
    </row>
    <row r="541" spans="3:4" x14ac:dyDescent="0.35">
      <c r="C541" s="2">
        <f>'Log Returns'!A541</f>
        <v>45356</v>
      </c>
      <c r="D541" s="53">
        <f>('Log Returns'!B541*$B$2)+('Log Returns'!C541*$B$3)+('Log Returns'!D541*$B$4)+('Log Returns'!E541*$B$5)+('Log Returns'!F541*$B$6)</f>
        <v>-1.0370375533183398E-2</v>
      </c>
    </row>
    <row r="542" spans="3:4" x14ac:dyDescent="0.35">
      <c r="C542" s="2">
        <f>'Log Returns'!A542</f>
        <v>45357</v>
      </c>
      <c r="D542" s="53">
        <f>('Log Returns'!B542*$B$2)+('Log Returns'!C542*$B$3)+('Log Returns'!D542*$B$4)+('Log Returns'!E542*$B$5)+('Log Returns'!F542*$B$6)</f>
        <v>6.8211840771521329E-3</v>
      </c>
    </row>
    <row r="543" spans="3:4" x14ac:dyDescent="0.35">
      <c r="C543" s="2">
        <f>'Log Returns'!A543</f>
        <v>45358</v>
      </c>
      <c r="D543" s="53">
        <f>('Log Returns'!B543*$B$2)+('Log Returns'!C543*$B$3)+('Log Returns'!D543*$B$4)+('Log Returns'!E543*$B$5)+('Log Returns'!F543*$B$6)</f>
        <v>-9.6654766063558779E-5</v>
      </c>
    </row>
    <row r="544" spans="3:4" x14ac:dyDescent="0.35">
      <c r="C544" s="2">
        <f>'Log Returns'!A544</f>
        <v>45362</v>
      </c>
      <c r="D544" s="53">
        <f>('Log Returns'!B544*$B$2)+('Log Returns'!C544*$B$3)+('Log Returns'!D544*$B$4)+('Log Returns'!E544*$B$5)+('Log Returns'!F544*$B$6)</f>
        <v>-6.6986313606722447E-3</v>
      </c>
    </row>
    <row r="545" spans="3:4" x14ac:dyDescent="0.35">
      <c r="C545" s="2">
        <f>'Log Returns'!A545</f>
        <v>45363</v>
      </c>
      <c r="D545" s="53">
        <f>('Log Returns'!B545*$B$2)+('Log Returns'!C545*$B$3)+('Log Returns'!D545*$B$4)+('Log Returns'!E545*$B$5)+('Log Returns'!F545*$B$6)</f>
        <v>3.3205453603140809E-3</v>
      </c>
    </row>
    <row r="546" spans="3:4" x14ac:dyDescent="0.35">
      <c r="C546" s="2">
        <f>'Log Returns'!A546</f>
        <v>45364</v>
      </c>
      <c r="D546" s="53">
        <f>('Log Returns'!B546*$B$2)+('Log Returns'!C546*$B$3)+('Log Returns'!D546*$B$4)+('Log Returns'!E546*$B$5)+('Log Returns'!F546*$B$6)</f>
        <v>1.8074084195355148E-3</v>
      </c>
    </row>
    <row r="547" spans="3:4" x14ac:dyDescent="0.35">
      <c r="C547" s="2">
        <f>'Log Returns'!A547</f>
        <v>45365</v>
      </c>
      <c r="D547" s="53">
        <f>('Log Returns'!B547*$B$2)+('Log Returns'!C547*$B$3)+('Log Returns'!D547*$B$4)+('Log Returns'!E547*$B$5)+('Log Returns'!F547*$B$6)</f>
        <v>6.4452100306641846E-3</v>
      </c>
    </row>
    <row r="548" spans="3:4" x14ac:dyDescent="0.35">
      <c r="C548" s="2">
        <f>'Log Returns'!A548</f>
        <v>45366</v>
      </c>
      <c r="D548" s="53">
        <f>('Log Returns'!B548*$B$2)+('Log Returns'!C548*$B$3)+('Log Returns'!D548*$B$4)+('Log Returns'!E548*$B$5)+('Log Returns'!F548*$B$6)</f>
        <v>-4.5192225041468309E-3</v>
      </c>
    </row>
    <row r="549" spans="3:4" x14ac:dyDescent="0.35">
      <c r="C549" s="2">
        <f>'Log Returns'!A549</f>
        <v>45369</v>
      </c>
      <c r="D549" s="53">
        <f>('Log Returns'!B549*$B$2)+('Log Returns'!C549*$B$3)+('Log Returns'!D549*$B$4)+('Log Returns'!E549*$B$5)+('Log Returns'!F549*$B$6)</f>
        <v>-4.7200455894258102E-3</v>
      </c>
    </row>
    <row r="550" spans="3:4" x14ac:dyDescent="0.35">
      <c r="C550" s="2">
        <f>'Log Returns'!A550</f>
        <v>45370</v>
      </c>
      <c r="D550" s="53">
        <f>('Log Returns'!B550*$B$2)+('Log Returns'!C550*$B$3)+('Log Returns'!D550*$B$4)+('Log Returns'!E550*$B$5)+('Log Returns'!F550*$B$6)</f>
        <v>-1.9127190397417084E-2</v>
      </c>
    </row>
    <row r="551" spans="3:4" x14ac:dyDescent="0.35">
      <c r="C551" s="2">
        <f>'Log Returns'!A551</f>
        <v>45371</v>
      </c>
      <c r="D551" s="53">
        <f>('Log Returns'!B551*$B$2)+('Log Returns'!C551*$B$3)+('Log Returns'!D551*$B$4)+('Log Returns'!E551*$B$5)+('Log Returns'!F551*$B$6)</f>
        <v>4.5068608720369267E-3</v>
      </c>
    </row>
    <row r="552" spans="3:4" x14ac:dyDescent="0.35">
      <c r="C552" s="2">
        <f>'Log Returns'!A552</f>
        <v>45372</v>
      </c>
      <c r="D552" s="53">
        <f>('Log Returns'!B552*$B$2)+('Log Returns'!C552*$B$3)+('Log Returns'!D552*$B$4)+('Log Returns'!E552*$B$5)+('Log Returns'!F552*$B$6)</f>
        <v>3.2223440805429831E-3</v>
      </c>
    </row>
    <row r="553" spans="3:4" x14ac:dyDescent="0.35">
      <c r="C553" s="2">
        <f>'Log Returns'!A553</f>
        <v>45373</v>
      </c>
      <c r="D553" s="53">
        <f>('Log Returns'!B553*$B$2)+('Log Returns'!C553*$B$3)+('Log Returns'!D553*$B$4)+('Log Returns'!E553*$B$5)+('Log Returns'!F553*$B$6)</f>
        <v>-3.5540703638513665E-3</v>
      </c>
    </row>
    <row r="554" spans="3:4" x14ac:dyDescent="0.35">
      <c r="C554" s="2">
        <f>'Log Returns'!A554</f>
        <v>45377</v>
      </c>
      <c r="D554" s="53">
        <f>('Log Returns'!B554*$B$2)+('Log Returns'!C554*$B$3)+('Log Returns'!D554*$B$4)+('Log Returns'!E554*$B$5)+('Log Returns'!F554*$B$6)</f>
        <v>-7.3906213830294528E-3</v>
      </c>
    </row>
    <row r="555" spans="3:4" x14ac:dyDescent="0.35">
      <c r="C555" s="2">
        <f>'Log Returns'!A555</f>
        <v>45378</v>
      </c>
      <c r="D555" s="53">
        <f>('Log Returns'!B555*$B$2)+('Log Returns'!C555*$B$3)+('Log Returns'!D555*$B$4)+('Log Returns'!E555*$B$5)+('Log Returns'!F555*$B$6)</f>
        <v>4.083866399115654E-3</v>
      </c>
    </row>
    <row r="556" spans="3:4" x14ac:dyDescent="0.35">
      <c r="C556" s="2">
        <f>'Log Returns'!A556</f>
        <v>45379</v>
      </c>
      <c r="D556" s="53">
        <f>('Log Returns'!B556*$B$2)+('Log Returns'!C556*$B$3)+('Log Returns'!D556*$B$4)+('Log Returns'!E556*$B$5)+('Log Returns'!F556*$B$6)</f>
        <v>4.7221980842467697E-3</v>
      </c>
    </row>
    <row r="557" spans="3:4" x14ac:dyDescent="0.35">
      <c r="C557" s="2">
        <f>'Log Returns'!A557</f>
        <v>45383</v>
      </c>
      <c r="D557" s="53">
        <f>('Log Returns'!B557*$B$2)+('Log Returns'!C557*$B$3)+('Log Returns'!D557*$B$4)+('Log Returns'!E557*$B$5)+('Log Returns'!F557*$B$6)</f>
        <v>1.9660042351332665E-3</v>
      </c>
    </row>
    <row r="558" spans="3:4" x14ac:dyDescent="0.35">
      <c r="C558" s="2">
        <f>'Log Returns'!A558</f>
        <v>45384</v>
      </c>
      <c r="D558" s="53">
        <f>('Log Returns'!B558*$B$2)+('Log Returns'!C558*$B$3)+('Log Returns'!D558*$B$4)+('Log Returns'!E558*$B$5)+('Log Returns'!F558*$B$6)</f>
        <v>-6.8707304179189618E-3</v>
      </c>
    </row>
    <row r="559" spans="3:4" x14ac:dyDescent="0.35">
      <c r="C559" s="2">
        <f>'Log Returns'!A559</f>
        <v>45385</v>
      </c>
      <c r="D559" s="53">
        <f>('Log Returns'!B559*$B$2)+('Log Returns'!C559*$B$3)+('Log Returns'!D559*$B$4)+('Log Returns'!E559*$B$5)+('Log Returns'!F559*$B$6)</f>
        <v>-1.7840018066045984E-4</v>
      </c>
    </row>
    <row r="560" spans="3:4" x14ac:dyDescent="0.35">
      <c r="C560" s="2">
        <f>'Log Returns'!A560</f>
        <v>45386</v>
      </c>
      <c r="D560" s="53">
        <f>('Log Returns'!B560*$B$2)+('Log Returns'!C560*$B$3)+('Log Returns'!D560*$B$4)+('Log Returns'!E560*$B$5)+('Log Returns'!F560*$B$6)</f>
        <v>1.6059598023513088E-3</v>
      </c>
    </row>
    <row r="561" spans="3:4" x14ac:dyDescent="0.35">
      <c r="C561" s="2">
        <f>'Log Returns'!A561</f>
        <v>45387</v>
      </c>
      <c r="D561" s="53">
        <f>('Log Returns'!B561*$B$2)+('Log Returns'!C561*$B$3)+('Log Returns'!D561*$B$4)+('Log Returns'!E561*$B$5)+('Log Returns'!F561*$B$6)</f>
        <v>4.8155047257842829E-4</v>
      </c>
    </row>
    <row r="562" spans="3:4" x14ac:dyDescent="0.35">
      <c r="C562" s="2">
        <f>'Log Returns'!A562</f>
        <v>45390</v>
      </c>
      <c r="D562" s="53">
        <f>('Log Returns'!B562*$B$2)+('Log Returns'!C562*$B$3)+('Log Returns'!D562*$B$4)+('Log Returns'!E562*$B$5)+('Log Returns'!F562*$B$6)</f>
        <v>4.2633445548111246E-3</v>
      </c>
    </row>
    <row r="563" spans="3:4" x14ac:dyDescent="0.35">
      <c r="C563" s="2">
        <f>'Log Returns'!A563</f>
        <v>45391</v>
      </c>
      <c r="D563" s="53">
        <f>('Log Returns'!B563*$B$2)+('Log Returns'!C563*$B$3)+('Log Returns'!D563*$B$4)+('Log Returns'!E563*$B$5)+('Log Returns'!F563*$B$6)</f>
        <v>4.4461838075193641E-4</v>
      </c>
    </row>
    <row r="564" spans="3:4" x14ac:dyDescent="0.35">
      <c r="C564" s="2">
        <f>'Log Returns'!A564</f>
        <v>45392</v>
      </c>
      <c r="D564" s="53">
        <f>('Log Returns'!B564*$B$2)+('Log Returns'!C564*$B$3)+('Log Returns'!D564*$B$4)+('Log Returns'!E564*$B$5)+('Log Returns'!F564*$B$6)</f>
        <v>1.1015438197215137E-2</v>
      </c>
    </row>
    <row r="565" spans="3:4" x14ac:dyDescent="0.35">
      <c r="C565" s="2">
        <f>'Log Returns'!A565</f>
        <v>45394</v>
      </c>
      <c r="D565" s="53">
        <f>('Log Returns'!B565*$B$2)+('Log Returns'!C565*$B$3)+('Log Returns'!D565*$B$4)+('Log Returns'!E565*$B$5)+('Log Returns'!F565*$B$6)</f>
        <v>-7.859363118994182E-3</v>
      </c>
    </row>
    <row r="566" spans="3:4" x14ac:dyDescent="0.35">
      <c r="C566" s="2">
        <f>'Log Returns'!A566</f>
        <v>45397</v>
      </c>
      <c r="D566" s="53">
        <f>('Log Returns'!B566*$B$2)+('Log Returns'!C566*$B$3)+('Log Returns'!D566*$B$4)+('Log Returns'!E566*$B$5)+('Log Returns'!F566*$B$6)</f>
        <v>-1.2333799493543948E-2</v>
      </c>
    </row>
    <row r="567" spans="3:4" x14ac:dyDescent="0.35">
      <c r="C567" s="2">
        <f>'Log Returns'!A567</f>
        <v>45398</v>
      </c>
      <c r="D567" s="53">
        <f>('Log Returns'!B567*$B$2)+('Log Returns'!C567*$B$3)+('Log Returns'!D567*$B$4)+('Log Returns'!E567*$B$5)+('Log Returns'!F567*$B$6)</f>
        <v>-1.2934026336441138E-2</v>
      </c>
    </row>
    <row r="568" spans="3:4" x14ac:dyDescent="0.35">
      <c r="C568" s="2">
        <f>'Log Returns'!A568</f>
        <v>45400</v>
      </c>
      <c r="D568" s="53">
        <f>('Log Returns'!B568*$B$2)+('Log Returns'!C568*$B$3)+('Log Returns'!D568*$B$4)+('Log Returns'!E568*$B$5)+('Log Returns'!F568*$B$6)</f>
        <v>-5.5999407370039295E-3</v>
      </c>
    </row>
    <row r="569" spans="3:4" x14ac:dyDescent="0.35">
      <c r="C569" s="2">
        <f>'Log Returns'!A569</f>
        <v>45401</v>
      </c>
      <c r="D569" s="53">
        <f>('Log Returns'!B569*$B$2)+('Log Returns'!C569*$B$3)+('Log Returns'!D569*$B$4)+('Log Returns'!E569*$B$5)+('Log Returns'!F569*$B$6)</f>
        <v>2.8185668706452987E-3</v>
      </c>
    </row>
    <row r="570" spans="3:4" x14ac:dyDescent="0.35">
      <c r="C570" s="2">
        <f>'Log Returns'!A570</f>
        <v>45404</v>
      </c>
      <c r="D570" s="53">
        <f>('Log Returns'!B570*$B$2)+('Log Returns'!C570*$B$3)+('Log Returns'!D570*$B$4)+('Log Returns'!E570*$B$5)+('Log Returns'!F570*$B$6)</f>
        <v>1.0200746101244662E-2</v>
      </c>
    </row>
    <row r="571" spans="3:4" x14ac:dyDescent="0.35">
      <c r="C571" s="2">
        <f>'Log Returns'!A571</f>
        <v>45405</v>
      </c>
      <c r="D571" s="53">
        <f>('Log Returns'!B571*$B$2)+('Log Returns'!C571*$B$3)+('Log Returns'!D571*$B$4)+('Log Returns'!E571*$B$5)+('Log Returns'!F571*$B$6)</f>
        <v>1.5584940105653655E-3</v>
      </c>
    </row>
    <row r="572" spans="3:4" x14ac:dyDescent="0.35">
      <c r="C572" s="2">
        <f>'Log Returns'!A572</f>
        <v>45406</v>
      </c>
      <c r="D572" s="53">
        <f>('Log Returns'!B572*$B$2)+('Log Returns'!C572*$B$3)+('Log Returns'!D572*$B$4)+('Log Returns'!E572*$B$5)+('Log Returns'!F572*$B$6)</f>
        <v>-4.0991547048517003E-3</v>
      </c>
    </row>
    <row r="573" spans="3:4" x14ac:dyDescent="0.35">
      <c r="C573" s="2">
        <f>'Log Returns'!A573</f>
        <v>45407</v>
      </c>
      <c r="D573" s="53">
        <f>('Log Returns'!B573*$B$2)+('Log Returns'!C573*$B$3)+('Log Returns'!D573*$B$4)+('Log Returns'!E573*$B$5)+('Log Returns'!F573*$B$6)</f>
        <v>1.0593805305702107E-2</v>
      </c>
    </row>
    <row r="574" spans="3:4" x14ac:dyDescent="0.35">
      <c r="C574" s="2">
        <f>'Log Returns'!A574</f>
        <v>45408</v>
      </c>
      <c r="D574" s="53">
        <f>('Log Returns'!B574*$B$2)+('Log Returns'!C574*$B$3)+('Log Returns'!D574*$B$4)+('Log Returns'!E574*$B$5)+('Log Returns'!F574*$B$6)</f>
        <v>-3.7068363498302791E-3</v>
      </c>
    </row>
    <row r="575" spans="3:4" x14ac:dyDescent="0.35">
      <c r="C575" s="2">
        <f>'Log Returns'!A575</f>
        <v>45411</v>
      </c>
      <c r="D575" s="53">
        <f>('Log Returns'!B575*$B$2)+('Log Returns'!C575*$B$3)+('Log Returns'!D575*$B$4)+('Log Returns'!E575*$B$5)+('Log Returns'!F575*$B$6)</f>
        <v>1.3273789489097092E-2</v>
      </c>
    </row>
    <row r="576" spans="3:4" x14ac:dyDescent="0.35">
      <c r="C576" s="2">
        <f>'Log Returns'!A576</f>
        <v>45412</v>
      </c>
      <c r="D576" s="53">
        <f>('Log Returns'!B576*$B$2)+('Log Returns'!C576*$B$3)+('Log Returns'!D576*$B$4)+('Log Returns'!E576*$B$5)+('Log Returns'!F576*$B$6)</f>
        <v>-7.151654751316322E-3</v>
      </c>
    </row>
    <row r="577" spans="3:4" x14ac:dyDescent="0.35">
      <c r="C577" s="2">
        <f>'Log Returns'!A577</f>
        <v>45414</v>
      </c>
      <c r="D577" s="53">
        <f>('Log Returns'!B577*$B$2)+('Log Returns'!C577*$B$3)+('Log Returns'!D577*$B$4)+('Log Returns'!E577*$B$5)+('Log Returns'!F577*$B$6)</f>
        <v>9.1726968822070901E-4</v>
      </c>
    </row>
    <row r="578" spans="3:4" x14ac:dyDescent="0.35">
      <c r="C578" s="2">
        <f>'Log Returns'!A578</f>
        <v>45415</v>
      </c>
      <c r="D578" s="53">
        <f>('Log Returns'!B578*$B$2)+('Log Returns'!C578*$B$3)+('Log Returns'!D578*$B$4)+('Log Returns'!E578*$B$5)+('Log Returns'!F578*$B$6)</f>
        <v>-5.9685411683812351E-3</v>
      </c>
    </row>
    <row r="579" spans="3:4" x14ac:dyDescent="0.35">
      <c r="C579" s="2">
        <f>'Log Returns'!A579</f>
        <v>45418</v>
      </c>
      <c r="D579" s="53">
        <f>('Log Returns'!B579*$B$2)+('Log Returns'!C579*$B$3)+('Log Returns'!D579*$B$4)+('Log Returns'!E579*$B$5)+('Log Returns'!F579*$B$6)</f>
        <v>3.2851453910205212E-3</v>
      </c>
    </row>
    <row r="580" spans="3:4" x14ac:dyDescent="0.35">
      <c r="C580" s="2">
        <f>'Log Returns'!A580</f>
        <v>45419</v>
      </c>
      <c r="D580" s="53">
        <f>('Log Returns'!B580*$B$2)+('Log Returns'!C580*$B$3)+('Log Returns'!D580*$B$4)+('Log Returns'!E580*$B$5)+('Log Returns'!F580*$B$6)</f>
        <v>2.5038676883659644E-3</v>
      </c>
    </row>
    <row r="581" spans="3:4" x14ac:dyDescent="0.35">
      <c r="C581" s="2">
        <f>'Log Returns'!A581</f>
        <v>45420</v>
      </c>
      <c r="D581" s="53">
        <f>('Log Returns'!B581*$B$2)+('Log Returns'!C581*$B$3)+('Log Returns'!D581*$B$4)+('Log Returns'!E581*$B$5)+('Log Returns'!F581*$B$6)</f>
        <v>-8.6851482656238573E-4</v>
      </c>
    </row>
    <row r="582" spans="3:4" x14ac:dyDescent="0.35">
      <c r="C582" s="2">
        <f>'Log Returns'!A582</f>
        <v>45421</v>
      </c>
      <c r="D582" s="53">
        <f>('Log Returns'!B582*$B$2)+('Log Returns'!C582*$B$3)+('Log Returns'!D582*$B$4)+('Log Returns'!E582*$B$5)+('Log Returns'!F582*$B$6)</f>
        <v>-1.1255701337869186E-2</v>
      </c>
    </row>
    <row r="583" spans="3:4" x14ac:dyDescent="0.35">
      <c r="C583" s="2">
        <f>'Log Returns'!A583</f>
        <v>45422</v>
      </c>
      <c r="D583" s="53">
        <f>('Log Returns'!B583*$B$2)+('Log Returns'!C583*$B$3)+('Log Returns'!D583*$B$4)+('Log Returns'!E583*$B$5)+('Log Returns'!F583*$B$6)</f>
        <v>5.6148501857185718E-4</v>
      </c>
    </row>
    <row r="584" spans="3:4" x14ac:dyDescent="0.35">
      <c r="C584" s="2">
        <f>'Log Returns'!A584</f>
        <v>45425</v>
      </c>
      <c r="D584" s="53">
        <f>('Log Returns'!B584*$B$2)+('Log Returns'!C584*$B$3)+('Log Returns'!D584*$B$4)+('Log Returns'!E584*$B$5)+('Log Returns'!F584*$B$6)</f>
        <v>3.1332937367069534E-3</v>
      </c>
    </row>
    <row r="585" spans="3:4" x14ac:dyDescent="0.35">
      <c r="C585" s="2">
        <f>'Log Returns'!A585</f>
        <v>45426</v>
      </c>
      <c r="D585" s="53">
        <f>('Log Returns'!B585*$B$2)+('Log Returns'!C585*$B$3)+('Log Returns'!D585*$B$4)+('Log Returns'!E585*$B$5)+('Log Returns'!F585*$B$6)</f>
        <v>-2.0633511191151051E-3</v>
      </c>
    </row>
    <row r="586" spans="3:4" x14ac:dyDescent="0.35">
      <c r="C586" s="2">
        <f>'Log Returns'!A586</f>
        <v>45427</v>
      </c>
      <c r="D586" s="53">
        <f>('Log Returns'!B586*$B$2)+('Log Returns'!C586*$B$3)+('Log Returns'!D586*$B$4)+('Log Returns'!E586*$B$5)+('Log Returns'!F586*$B$6)</f>
        <v>-2.4830226954477893E-3</v>
      </c>
    </row>
    <row r="587" spans="3:4" x14ac:dyDescent="0.35">
      <c r="C587" s="2">
        <f>'Log Returns'!A587</f>
        <v>45428</v>
      </c>
      <c r="D587" s="53">
        <f>('Log Returns'!B587*$B$2)+('Log Returns'!C587*$B$3)+('Log Returns'!D587*$B$4)+('Log Returns'!E587*$B$5)+('Log Returns'!F587*$B$6)</f>
        <v>9.8735467406117668E-3</v>
      </c>
    </row>
    <row r="588" spans="3:4" x14ac:dyDescent="0.35">
      <c r="C588" s="2">
        <f>'Log Returns'!A588</f>
        <v>45429</v>
      </c>
      <c r="D588" s="53">
        <f>('Log Returns'!B588*$B$2)+('Log Returns'!C588*$B$3)+('Log Returns'!D588*$B$4)+('Log Returns'!E588*$B$5)+('Log Returns'!F588*$B$6)</f>
        <v>-1.1236122949138008E-3</v>
      </c>
    </row>
    <row r="589" spans="3:4" x14ac:dyDescent="0.35">
      <c r="C589" s="2">
        <f>'Log Returns'!A589</f>
        <v>45430</v>
      </c>
      <c r="D589" s="53">
        <f>('Log Returns'!B589*$B$2)+('Log Returns'!C589*$B$3)+('Log Returns'!D589*$B$4)+('Log Returns'!E589*$B$5)+('Log Returns'!F589*$B$6)</f>
        <v>1.3122192855254906E-2</v>
      </c>
    </row>
    <row r="590" spans="3:4" x14ac:dyDescent="0.35">
      <c r="C590" s="2">
        <f>'Log Returns'!A590</f>
        <v>45433</v>
      </c>
      <c r="D590" s="53">
        <f>('Log Returns'!B590*$B$2)+('Log Returns'!C590*$B$3)+('Log Returns'!D590*$B$4)+('Log Returns'!E590*$B$5)+('Log Returns'!F590*$B$6)</f>
        <v>-1.7581242022110751E-2</v>
      </c>
    </row>
    <row r="591" spans="3:4" x14ac:dyDescent="0.35">
      <c r="C591" s="2">
        <f>'Log Returns'!A591</f>
        <v>45434</v>
      </c>
      <c r="D591" s="53">
        <f>('Log Returns'!B591*$B$2)+('Log Returns'!C591*$B$3)+('Log Returns'!D591*$B$4)+('Log Returns'!E591*$B$5)+('Log Returns'!F591*$B$6)</f>
        <v>7.4275291325904096E-3</v>
      </c>
    </row>
    <row r="592" spans="3:4" x14ac:dyDescent="0.35">
      <c r="C592" s="2">
        <f>'Log Returns'!A592</f>
        <v>45435</v>
      </c>
      <c r="D592" s="53">
        <f>('Log Returns'!B592*$B$2)+('Log Returns'!C592*$B$3)+('Log Returns'!D592*$B$4)+('Log Returns'!E592*$B$5)+('Log Returns'!F592*$B$6)</f>
        <v>1.3860272069421701E-2</v>
      </c>
    </row>
    <row r="593" spans="3:4" x14ac:dyDescent="0.35">
      <c r="C593" s="2">
        <f>'Log Returns'!A593</f>
        <v>45436</v>
      </c>
      <c r="D593" s="53">
        <f>('Log Returns'!B593*$B$2)+('Log Returns'!C593*$B$3)+('Log Returns'!D593*$B$4)+('Log Returns'!E593*$B$5)+('Log Returns'!F593*$B$6)</f>
        <v>-6.843342971508749E-3</v>
      </c>
    </row>
    <row r="594" spans="3:4" x14ac:dyDescent="0.35">
      <c r="C594" s="2">
        <f>'Log Returns'!A594</f>
        <v>45439</v>
      </c>
      <c r="D594" s="53">
        <f>('Log Returns'!B594*$B$2)+('Log Returns'!C594*$B$3)+('Log Returns'!D594*$B$4)+('Log Returns'!E594*$B$5)+('Log Returns'!F594*$B$6)</f>
        <v>-3.7259567330283909E-3</v>
      </c>
    </row>
    <row r="595" spans="3:4" x14ac:dyDescent="0.35">
      <c r="C595" s="2">
        <f>'Log Returns'!A595</f>
        <v>45440</v>
      </c>
      <c r="D595" s="53">
        <f>('Log Returns'!B595*$B$2)+('Log Returns'!C595*$B$3)+('Log Returns'!D595*$B$4)+('Log Returns'!E595*$B$5)+('Log Returns'!F595*$B$6)</f>
        <v>-3.9969713155875945E-3</v>
      </c>
    </row>
    <row r="596" spans="3:4" x14ac:dyDescent="0.35">
      <c r="C596" s="2">
        <f>'Log Returns'!A596</f>
        <v>45441</v>
      </c>
      <c r="D596" s="53">
        <f>('Log Returns'!B596*$B$2)+('Log Returns'!C596*$B$3)+('Log Returns'!D596*$B$4)+('Log Returns'!E596*$B$5)+('Log Returns'!F596*$B$6)</f>
        <v>-9.8061345431732592E-3</v>
      </c>
    </row>
    <row r="597" spans="3:4" x14ac:dyDescent="0.35">
      <c r="C597" s="2">
        <f>'Log Returns'!A597</f>
        <v>45442</v>
      </c>
      <c r="D597" s="53">
        <f>('Log Returns'!B597*$B$2)+('Log Returns'!C597*$B$3)+('Log Returns'!D597*$B$4)+('Log Returns'!E597*$B$5)+('Log Returns'!F597*$B$6)</f>
        <v>-1.0280367996299326E-2</v>
      </c>
    </row>
    <row r="598" spans="3:4" x14ac:dyDescent="0.35">
      <c r="C598" s="2">
        <f>'Log Returns'!A598</f>
        <v>45443</v>
      </c>
      <c r="D598" s="53">
        <f>('Log Returns'!B598*$B$2)+('Log Returns'!C598*$B$3)+('Log Returns'!D598*$B$4)+('Log Returns'!E598*$B$5)+('Log Returns'!F598*$B$6)</f>
        <v>-1.9781344947627424E-3</v>
      </c>
    </row>
    <row r="599" spans="3:4" x14ac:dyDescent="0.35">
      <c r="C599" s="2">
        <f>'Log Returns'!A599</f>
        <v>45446</v>
      </c>
      <c r="D599" s="53">
        <f>('Log Returns'!B599*$B$2)+('Log Returns'!C599*$B$3)+('Log Returns'!D599*$B$4)+('Log Returns'!E599*$B$5)+('Log Returns'!F599*$B$6)</f>
        <v>2.1113589614454614E-2</v>
      </c>
    </row>
    <row r="600" spans="3:4" x14ac:dyDescent="0.35">
      <c r="C600" s="2">
        <f>'Log Returns'!A600</f>
        <v>45447</v>
      </c>
      <c r="D600" s="53">
        <f>('Log Returns'!B600*$B$2)+('Log Returns'!C600*$B$3)+('Log Returns'!D600*$B$4)+('Log Returns'!E600*$B$5)+('Log Returns'!F600*$B$6)</f>
        <v>-3.9701927000150419E-2</v>
      </c>
    </row>
    <row r="601" spans="3:4" x14ac:dyDescent="0.35">
      <c r="C601" s="2">
        <f>'Log Returns'!A601</f>
        <v>45448</v>
      </c>
      <c r="D601" s="53">
        <f>('Log Returns'!B601*$B$2)+('Log Returns'!C601*$B$3)+('Log Returns'!D601*$B$4)+('Log Returns'!E601*$B$5)+('Log Returns'!F601*$B$6)</f>
        <v>2.4149171191485304E-2</v>
      </c>
    </row>
    <row r="602" spans="3:4" x14ac:dyDescent="0.35">
      <c r="C602" s="2">
        <f>'Log Returns'!A602</f>
        <v>45449</v>
      </c>
      <c r="D602" s="53">
        <f>('Log Returns'!B602*$B$2)+('Log Returns'!C602*$B$3)+('Log Returns'!D602*$B$4)+('Log Returns'!E602*$B$5)+('Log Returns'!F602*$B$6)</f>
        <v>1.4432839107150541E-2</v>
      </c>
    </row>
    <row r="603" spans="3:4" x14ac:dyDescent="0.35">
      <c r="C603" s="2">
        <f>'Log Returns'!A603</f>
        <v>45450</v>
      </c>
      <c r="D603" s="53">
        <f>('Log Returns'!B603*$B$2)+('Log Returns'!C603*$B$3)+('Log Returns'!D603*$B$4)+('Log Returns'!E603*$B$5)+('Log Returns'!F603*$B$6)</f>
        <v>2.0484708769482857E-2</v>
      </c>
    </row>
    <row r="604" spans="3:4" x14ac:dyDescent="0.35">
      <c r="C604" s="2">
        <f>'Log Returns'!A604</f>
        <v>45453</v>
      </c>
      <c r="D604" s="53">
        <f>('Log Returns'!B604*$B$2)+('Log Returns'!C604*$B$3)+('Log Returns'!D604*$B$4)+('Log Returns'!E604*$B$5)+('Log Returns'!F604*$B$6)</f>
        <v>-6.7394290975294965E-3</v>
      </c>
    </row>
    <row r="605" spans="3:4" x14ac:dyDescent="0.35">
      <c r="C605" s="2">
        <f>'Log Returns'!A605</f>
        <v>45454</v>
      </c>
      <c r="D605" s="53">
        <f>('Log Returns'!B605*$B$2)+('Log Returns'!C605*$B$3)+('Log Returns'!D605*$B$4)+('Log Returns'!E605*$B$5)+('Log Returns'!F605*$B$6)</f>
        <v>-5.6801160525707575E-3</v>
      </c>
    </row>
    <row r="606" spans="3:4" x14ac:dyDescent="0.35">
      <c r="C606" s="2">
        <f>'Log Returns'!A606</f>
        <v>45455</v>
      </c>
      <c r="D606" s="53">
        <f>('Log Returns'!B606*$B$2)+('Log Returns'!C606*$B$3)+('Log Returns'!D606*$B$4)+('Log Returns'!E606*$B$5)+('Log Returns'!F606*$B$6)</f>
        <v>-1.6518541811106758E-3</v>
      </c>
    </row>
    <row r="607" spans="3:4" x14ac:dyDescent="0.35">
      <c r="C607" s="2">
        <f>'Log Returns'!A607</f>
        <v>45456</v>
      </c>
      <c r="D607" s="53">
        <f>('Log Returns'!B607*$B$2)+('Log Returns'!C607*$B$3)+('Log Returns'!D607*$B$4)+('Log Returns'!E607*$B$5)+('Log Returns'!F607*$B$6)</f>
        <v>7.3314100624114517E-4</v>
      </c>
    </row>
    <row r="608" spans="3:4" x14ac:dyDescent="0.35">
      <c r="C608" s="2">
        <f>'Log Returns'!A608</f>
        <v>45457</v>
      </c>
      <c r="D608" s="53">
        <f>('Log Returns'!B608*$B$2)+('Log Returns'!C608*$B$3)+('Log Returns'!D608*$B$4)+('Log Returns'!E608*$B$5)+('Log Returns'!F608*$B$6)</f>
        <v>-1.3115922084406928E-3</v>
      </c>
    </row>
    <row r="609" spans="3:4" x14ac:dyDescent="0.35">
      <c r="C609" s="2">
        <f>'Log Returns'!A609</f>
        <v>45461</v>
      </c>
      <c r="D609" s="53">
        <f>('Log Returns'!B609*$B$2)+('Log Returns'!C609*$B$3)+('Log Returns'!D609*$B$4)+('Log Returns'!E609*$B$5)+('Log Returns'!F609*$B$6)</f>
        <v>2.8003799466051267E-3</v>
      </c>
    </row>
    <row r="610" spans="3:4" x14ac:dyDescent="0.35">
      <c r="C610" s="2">
        <f>'Log Returns'!A610</f>
        <v>45462</v>
      </c>
      <c r="D610" s="53">
        <f>('Log Returns'!B610*$B$2)+('Log Returns'!C610*$B$3)+('Log Returns'!D610*$B$4)+('Log Returns'!E610*$B$5)+('Log Returns'!F610*$B$6)</f>
        <v>-5.8136139162711297E-4</v>
      </c>
    </row>
    <row r="611" spans="3:4" x14ac:dyDescent="0.35">
      <c r="C611" s="2">
        <f>'Log Returns'!A611</f>
        <v>45463</v>
      </c>
      <c r="D611" s="53">
        <f>('Log Returns'!B611*$B$2)+('Log Returns'!C611*$B$3)+('Log Returns'!D611*$B$4)+('Log Returns'!E611*$B$5)+('Log Returns'!F611*$B$6)</f>
        <v>3.8085055462213561E-3</v>
      </c>
    </row>
    <row r="612" spans="3:4" x14ac:dyDescent="0.35">
      <c r="C612" s="2">
        <f>'Log Returns'!A612</f>
        <v>45464</v>
      </c>
      <c r="D612" s="53">
        <f>('Log Returns'!B612*$B$2)+('Log Returns'!C612*$B$3)+('Log Returns'!D612*$B$4)+('Log Returns'!E612*$B$5)+('Log Returns'!F612*$B$6)</f>
        <v>-5.9272702626660383E-4</v>
      </c>
    </row>
    <row r="613" spans="3:4" x14ac:dyDescent="0.35">
      <c r="C613" s="2">
        <f>'Log Returns'!A613</f>
        <v>45467</v>
      </c>
      <c r="D613" s="53">
        <f>('Log Returns'!B613*$B$2)+('Log Returns'!C613*$B$3)+('Log Returns'!D613*$B$4)+('Log Returns'!E613*$B$5)+('Log Returns'!F613*$B$6)</f>
        <v>1.5556989654796868E-3</v>
      </c>
    </row>
    <row r="614" spans="3:4" x14ac:dyDescent="0.35">
      <c r="C614" s="2">
        <f>'Log Returns'!A614</f>
        <v>45468</v>
      </c>
      <c r="D614" s="53">
        <f>('Log Returns'!B614*$B$2)+('Log Returns'!C614*$B$3)+('Log Returns'!D614*$B$4)+('Log Returns'!E614*$B$5)+('Log Returns'!F614*$B$6)</f>
        <v>9.5163037236560902E-3</v>
      </c>
    </row>
    <row r="615" spans="3:4" x14ac:dyDescent="0.35">
      <c r="C615" s="2">
        <f>'Log Returns'!A615</f>
        <v>45469</v>
      </c>
      <c r="D615" s="53">
        <f>('Log Returns'!B615*$B$2)+('Log Returns'!C615*$B$3)+('Log Returns'!D615*$B$4)+('Log Returns'!E615*$B$5)+('Log Returns'!F615*$B$6)</f>
        <v>1.2437162416475998E-2</v>
      </c>
    </row>
    <row r="616" spans="3:4" x14ac:dyDescent="0.35">
      <c r="C616" s="2">
        <f>'Log Returns'!A616</f>
        <v>45470</v>
      </c>
      <c r="D616" s="53">
        <f>('Log Returns'!B616*$B$2)+('Log Returns'!C616*$B$3)+('Log Returns'!D616*$B$4)+('Log Returns'!E616*$B$5)+('Log Returns'!F616*$B$6)</f>
        <v>1.1473332448452523E-2</v>
      </c>
    </row>
    <row r="617" spans="3:4" x14ac:dyDescent="0.35">
      <c r="C617" s="2">
        <f>'Log Returns'!A617</f>
        <v>45471</v>
      </c>
      <c r="D617" s="53">
        <f>('Log Returns'!B617*$B$2)+('Log Returns'!C617*$B$3)+('Log Returns'!D617*$B$4)+('Log Returns'!E617*$B$5)+('Log Returns'!F617*$B$6)</f>
        <v>-1.5531092221898416E-3</v>
      </c>
    </row>
    <row r="618" spans="3:4" x14ac:dyDescent="0.35">
      <c r="C618" s="2">
        <f>'Log Returns'!A618</f>
        <v>45474</v>
      </c>
      <c r="D618" s="53">
        <f>('Log Returns'!B618*$B$2)+('Log Returns'!C618*$B$3)+('Log Returns'!D618*$B$4)+('Log Returns'!E618*$B$5)+('Log Returns'!F618*$B$6)</f>
        <v>1.011062670795684E-2</v>
      </c>
    </row>
    <row r="619" spans="3:4" x14ac:dyDescent="0.35">
      <c r="C619" s="2">
        <f>'Log Returns'!A619</f>
        <v>45475</v>
      </c>
      <c r="D619" s="53">
        <f>('Log Returns'!B619*$B$2)+('Log Returns'!C619*$B$3)+('Log Returns'!D619*$B$4)+('Log Returns'!E619*$B$5)+('Log Returns'!F619*$B$6)</f>
        <v>1.1716185835048101E-3</v>
      </c>
    </row>
    <row r="620" spans="3:4" x14ac:dyDescent="0.35">
      <c r="C620" s="2">
        <f>'Log Returns'!A620</f>
        <v>45476</v>
      </c>
      <c r="D620" s="53">
        <f>('Log Returns'!B620*$B$2)+('Log Returns'!C620*$B$3)+('Log Returns'!D620*$B$4)+('Log Returns'!E620*$B$5)+('Log Returns'!F620*$B$6)</f>
        <v>-3.1548876385480628E-4</v>
      </c>
    </row>
    <row r="621" spans="3:4" x14ac:dyDescent="0.35">
      <c r="C621" s="2">
        <f>'Log Returns'!A621</f>
        <v>45477</v>
      </c>
      <c r="D621" s="53">
        <f>('Log Returns'!B621*$B$2)+('Log Returns'!C621*$B$3)+('Log Returns'!D621*$B$4)+('Log Returns'!E621*$B$5)+('Log Returns'!F621*$B$6)</f>
        <v>1.1342379315624542E-2</v>
      </c>
    </row>
    <row r="622" spans="3:4" x14ac:dyDescent="0.35">
      <c r="C622" s="2">
        <f>'Log Returns'!A622</f>
        <v>45478</v>
      </c>
      <c r="D622" s="53">
        <f>('Log Returns'!B622*$B$2)+('Log Returns'!C622*$B$3)+('Log Returns'!D622*$B$4)+('Log Returns'!E622*$B$5)+('Log Returns'!F622*$B$6)</f>
        <v>5.7572586085101497E-3</v>
      </c>
    </row>
    <row r="623" spans="3:4" x14ac:dyDescent="0.35">
      <c r="C623" s="2">
        <f>'Log Returns'!A623</f>
        <v>45481</v>
      </c>
      <c r="D623" s="53">
        <f>('Log Returns'!B623*$B$2)+('Log Returns'!C623*$B$3)+('Log Returns'!D623*$B$4)+('Log Returns'!E623*$B$5)+('Log Returns'!F623*$B$6)</f>
        <v>7.1289704038116752E-3</v>
      </c>
    </row>
    <row r="624" spans="3:4" x14ac:dyDescent="0.35">
      <c r="C624" s="2">
        <f>'Log Returns'!A624</f>
        <v>45482</v>
      </c>
      <c r="D624" s="53">
        <f>('Log Returns'!B624*$B$2)+('Log Returns'!C624*$B$3)+('Log Returns'!D624*$B$4)+('Log Returns'!E624*$B$5)+('Log Returns'!F624*$B$6)</f>
        <v>3.8865126419391008E-3</v>
      </c>
    </row>
    <row r="625" spans="3:4" x14ac:dyDescent="0.35">
      <c r="C625" s="2">
        <f>'Log Returns'!A625</f>
        <v>45483</v>
      </c>
      <c r="D625" s="53">
        <f>('Log Returns'!B625*$B$2)+('Log Returns'!C625*$B$3)+('Log Returns'!D625*$B$4)+('Log Returns'!E625*$B$5)+('Log Returns'!F625*$B$6)</f>
        <v>-7.0297436732962952E-3</v>
      </c>
    </row>
    <row r="626" spans="3:4" x14ac:dyDescent="0.35">
      <c r="C626" s="2">
        <f>'Log Returns'!A626</f>
        <v>45484</v>
      </c>
      <c r="D626" s="53">
        <f>('Log Returns'!B626*$B$2)+('Log Returns'!C626*$B$3)+('Log Returns'!D626*$B$4)+('Log Returns'!E626*$B$5)+('Log Returns'!F626*$B$6)</f>
        <v>3.2293796020929858E-3</v>
      </c>
    </row>
    <row r="627" spans="3:4" x14ac:dyDescent="0.35">
      <c r="C627" s="2">
        <f>'Log Returns'!A627</f>
        <v>45485</v>
      </c>
      <c r="D627" s="53">
        <f>('Log Returns'!B627*$B$2)+('Log Returns'!C627*$B$3)+('Log Returns'!D627*$B$4)+('Log Returns'!E627*$B$5)+('Log Returns'!F627*$B$6)</f>
        <v>2.1165184051026475E-2</v>
      </c>
    </row>
    <row r="628" spans="3:4" x14ac:dyDescent="0.35">
      <c r="C628" s="2">
        <f>'Log Returns'!A628</f>
        <v>45488</v>
      </c>
      <c r="D628" s="53">
        <f>('Log Returns'!B628*$B$2)+('Log Returns'!C628*$B$3)+('Log Returns'!D628*$B$4)+('Log Returns'!E628*$B$5)+('Log Returns'!F628*$B$6)</f>
        <v>2.1120737078028835E-4</v>
      </c>
    </row>
    <row r="629" spans="3:4" x14ac:dyDescent="0.35">
      <c r="C629" s="2">
        <f>'Log Returns'!A629</f>
        <v>45489</v>
      </c>
      <c r="D629" s="53">
        <f>('Log Returns'!B629*$B$2)+('Log Returns'!C629*$B$3)+('Log Returns'!D629*$B$4)+('Log Returns'!E629*$B$5)+('Log Returns'!F629*$B$6)</f>
        <v>2.5537852272601558E-3</v>
      </c>
    </row>
    <row r="630" spans="3:4" x14ac:dyDescent="0.35">
      <c r="C630" s="2">
        <f>'Log Returns'!A630</f>
        <v>45491</v>
      </c>
      <c r="D630" s="53">
        <f>('Log Returns'!B630*$B$2)+('Log Returns'!C630*$B$3)+('Log Returns'!D630*$B$4)+('Log Returns'!E630*$B$5)+('Log Returns'!F630*$B$6)</f>
        <v>1.5126573692586139E-2</v>
      </c>
    </row>
    <row r="631" spans="3:4" x14ac:dyDescent="0.35">
      <c r="C631" s="2">
        <f>'Log Returns'!A631</f>
        <v>45492</v>
      </c>
      <c r="D631" s="53">
        <f>('Log Returns'!B631*$B$2)+('Log Returns'!C631*$B$3)+('Log Returns'!D631*$B$4)+('Log Returns'!E631*$B$5)+('Log Returns'!F631*$B$6)</f>
        <v>8.6406189066834047E-4</v>
      </c>
    </row>
    <row r="632" spans="3:4" x14ac:dyDescent="0.35">
      <c r="C632" s="2">
        <f>'Log Returns'!A632</f>
        <v>45495</v>
      </c>
      <c r="D632" s="53">
        <f>('Log Returns'!B632*$B$2)+('Log Returns'!C632*$B$3)+('Log Returns'!D632*$B$4)+('Log Returns'!E632*$B$5)+('Log Returns'!F632*$B$6)</f>
        <v>-1.0450901639082614E-2</v>
      </c>
    </row>
    <row r="633" spans="3:4" x14ac:dyDescent="0.35">
      <c r="C633" s="2">
        <f>'Log Returns'!A633</f>
        <v>45496</v>
      </c>
      <c r="D633" s="53">
        <f>('Log Returns'!B633*$B$2)+('Log Returns'!C633*$B$3)+('Log Returns'!D633*$B$4)+('Log Returns'!E633*$B$5)+('Log Returns'!F633*$B$6)</f>
        <v>1.0216690951712293E-2</v>
      </c>
    </row>
    <row r="634" spans="3:4" x14ac:dyDescent="0.35">
      <c r="C634" s="2">
        <f>'Log Returns'!A634</f>
        <v>45497</v>
      </c>
      <c r="D634" s="53">
        <f>('Log Returns'!B634*$B$2)+('Log Returns'!C634*$B$3)+('Log Returns'!D634*$B$4)+('Log Returns'!E634*$B$5)+('Log Returns'!F634*$B$6)</f>
        <v>1.0434345439956369E-3</v>
      </c>
    </row>
    <row r="635" spans="3:4" x14ac:dyDescent="0.35">
      <c r="C635" s="2">
        <f>'Log Returns'!A635</f>
        <v>45498</v>
      </c>
      <c r="D635" s="53">
        <f>('Log Returns'!B635*$B$2)+('Log Returns'!C635*$B$3)+('Log Returns'!D635*$B$4)+('Log Returns'!E635*$B$5)+('Log Returns'!F635*$B$6)</f>
        <v>-6.4979355055697864E-3</v>
      </c>
    </row>
    <row r="636" spans="3:4" x14ac:dyDescent="0.35">
      <c r="C636" s="2">
        <f>'Log Returns'!A636</f>
        <v>45499</v>
      </c>
      <c r="D636" s="53">
        <f>('Log Returns'!B636*$B$2)+('Log Returns'!C636*$B$3)+('Log Returns'!D636*$B$4)+('Log Returns'!E636*$B$5)+('Log Returns'!F636*$B$6)</f>
        <v>1.7541420775363654E-2</v>
      </c>
    </row>
    <row r="637" spans="3:4" x14ac:dyDescent="0.35">
      <c r="C637" s="2">
        <f>'Log Returns'!A637</f>
        <v>45502</v>
      </c>
      <c r="D637" s="53">
        <f>('Log Returns'!B637*$B$2)+('Log Returns'!C637*$B$3)+('Log Returns'!D637*$B$4)+('Log Returns'!E637*$B$5)+('Log Returns'!F637*$B$6)</f>
        <v>-1.234156242948781E-3</v>
      </c>
    </row>
    <row r="638" spans="3:4" x14ac:dyDescent="0.35">
      <c r="C638" s="2">
        <f>'Log Returns'!A638</f>
        <v>45503</v>
      </c>
      <c r="D638" s="53">
        <f>('Log Returns'!B638*$B$2)+('Log Returns'!C638*$B$3)+('Log Returns'!D638*$B$4)+('Log Returns'!E638*$B$5)+('Log Returns'!F638*$B$6)</f>
        <v>-4.0238399812186562E-3</v>
      </c>
    </row>
    <row r="639" spans="3:4" x14ac:dyDescent="0.35">
      <c r="C639" s="2">
        <f>'Log Returns'!A639</f>
        <v>45504</v>
      </c>
      <c r="D639" s="53">
        <f>('Log Returns'!B639*$B$2)+('Log Returns'!C639*$B$3)+('Log Returns'!D639*$B$4)+('Log Returns'!E639*$B$5)+('Log Returns'!F639*$B$6)</f>
        <v>2.0543972517689047E-3</v>
      </c>
    </row>
    <row r="640" spans="3:4" x14ac:dyDescent="0.35">
      <c r="C640" s="2">
        <f>'Log Returns'!A640</f>
        <v>45505</v>
      </c>
      <c r="D640" s="53">
        <f>('Log Returns'!B640*$B$2)+('Log Returns'!C640*$B$3)+('Log Returns'!D640*$B$4)+('Log Returns'!E640*$B$5)+('Log Returns'!F640*$B$6)</f>
        <v>-1.2989523468074251E-3</v>
      </c>
    </row>
    <row r="641" spans="3:4" x14ac:dyDescent="0.35">
      <c r="C641" s="2">
        <f>'Log Returns'!A641</f>
        <v>45506</v>
      </c>
      <c r="D641" s="53">
        <f>('Log Returns'!B641*$B$2)+('Log Returns'!C641*$B$3)+('Log Returns'!D641*$B$4)+('Log Returns'!E641*$B$5)+('Log Returns'!F641*$B$6)</f>
        <v>-1.4918813561925804E-2</v>
      </c>
    </row>
    <row r="642" spans="3:4" x14ac:dyDescent="0.35">
      <c r="C642" s="2">
        <f>'Log Returns'!A642</f>
        <v>45509</v>
      </c>
      <c r="D642" s="53">
        <f>('Log Returns'!B642*$B$2)+('Log Returns'!C642*$B$3)+('Log Returns'!D642*$B$4)+('Log Returns'!E642*$B$5)+('Log Returns'!F642*$B$6)</f>
        <v>-2.6205383142125293E-2</v>
      </c>
    </row>
    <row r="643" spans="3:4" x14ac:dyDescent="0.35">
      <c r="C643" s="2">
        <f>'Log Returns'!A643</f>
        <v>45510</v>
      </c>
      <c r="D643" s="53">
        <f>('Log Returns'!B643*$B$2)+('Log Returns'!C643*$B$3)+('Log Returns'!D643*$B$4)+('Log Returns'!E643*$B$5)+('Log Returns'!F643*$B$6)</f>
        <v>1.0302280333365562E-3</v>
      </c>
    </row>
    <row r="644" spans="3:4" x14ac:dyDescent="0.35">
      <c r="C644" s="2">
        <f>'Log Returns'!A644</f>
        <v>45511</v>
      </c>
      <c r="D644" s="53">
        <f>('Log Returns'!B644*$B$2)+('Log Returns'!C644*$B$3)+('Log Returns'!D644*$B$4)+('Log Returns'!E644*$B$5)+('Log Returns'!F644*$B$6)</f>
        <v>1.0726261783743658E-2</v>
      </c>
    </row>
    <row r="645" spans="3:4" x14ac:dyDescent="0.35">
      <c r="C645" s="2">
        <f>'Log Returns'!A645</f>
        <v>45512</v>
      </c>
      <c r="D645" s="53">
        <f>('Log Returns'!B645*$B$2)+('Log Returns'!C645*$B$3)+('Log Returns'!D645*$B$4)+('Log Returns'!E645*$B$5)+('Log Returns'!F645*$B$6)</f>
        <v>-9.4667028460764611E-3</v>
      </c>
    </row>
    <row r="646" spans="3:4" x14ac:dyDescent="0.35">
      <c r="C646" s="2">
        <f>'Log Returns'!A646</f>
        <v>45513</v>
      </c>
      <c r="D646" s="53">
        <f>('Log Returns'!B646*$B$2)+('Log Returns'!C646*$B$3)+('Log Returns'!D646*$B$4)+('Log Returns'!E646*$B$5)+('Log Returns'!F646*$B$6)</f>
        <v>1.0925435791101702E-2</v>
      </c>
    </row>
    <row r="647" spans="3:4" x14ac:dyDescent="0.35">
      <c r="C647" s="2">
        <f>'Log Returns'!A647</f>
        <v>45516</v>
      </c>
      <c r="D647" s="53">
        <f>('Log Returns'!B647*$B$2)+('Log Returns'!C647*$B$3)+('Log Returns'!D647*$B$4)+('Log Returns'!E647*$B$5)+('Log Returns'!F647*$B$6)</f>
        <v>-7.6744582104907363E-4</v>
      </c>
    </row>
    <row r="648" spans="3:4" x14ac:dyDescent="0.35">
      <c r="C648" s="2">
        <f>'Log Returns'!A648</f>
        <v>45517</v>
      </c>
      <c r="D648" s="53">
        <f>('Log Returns'!B648*$B$2)+('Log Returns'!C648*$B$3)+('Log Returns'!D648*$B$4)+('Log Returns'!E648*$B$5)+('Log Returns'!F648*$B$6)</f>
        <v>-2.1504965515433956E-3</v>
      </c>
    </row>
    <row r="649" spans="3:4" x14ac:dyDescent="0.35">
      <c r="C649" s="2">
        <f>'Log Returns'!A649</f>
        <v>45518</v>
      </c>
      <c r="D649" s="53">
        <f>('Log Returns'!B649*$B$2)+('Log Returns'!C649*$B$3)+('Log Returns'!D649*$B$4)+('Log Returns'!E649*$B$5)+('Log Returns'!F649*$B$6)</f>
        <v>6.9824818024396126E-3</v>
      </c>
    </row>
    <row r="650" spans="3:4" x14ac:dyDescent="0.35">
      <c r="C650" s="2">
        <f>'Log Returns'!A650</f>
        <v>45520</v>
      </c>
      <c r="D650" s="53">
        <f>('Log Returns'!B650*$B$2)+('Log Returns'!C650*$B$3)+('Log Returns'!D650*$B$4)+('Log Returns'!E650*$B$5)+('Log Returns'!F650*$B$6)</f>
        <v>2.0208863869671016E-2</v>
      </c>
    </row>
    <row r="651" spans="3:4" x14ac:dyDescent="0.35">
      <c r="C651" s="2">
        <f>'Log Returns'!A651</f>
        <v>45523</v>
      </c>
      <c r="D651" s="53">
        <f>('Log Returns'!B651*$B$2)+('Log Returns'!C651*$B$3)+('Log Returns'!D651*$B$4)+('Log Returns'!E651*$B$5)+('Log Returns'!F651*$B$6)</f>
        <v>2.9281064928700488E-3</v>
      </c>
    </row>
    <row r="652" spans="3:4" x14ac:dyDescent="0.35">
      <c r="C652" s="2">
        <f>'Log Returns'!A652</f>
        <v>45524</v>
      </c>
      <c r="D652" s="53">
        <f>('Log Returns'!B652*$B$2)+('Log Returns'!C652*$B$3)+('Log Returns'!D652*$B$4)+('Log Returns'!E652*$B$5)+('Log Returns'!F652*$B$6)</f>
        <v>2.82370127566725E-3</v>
      </c>
    </row>
    <row r="653" spans="3:4" x14ac:dyDescent="0.35">
      <c r="C653" s="2">
        <f>'Log Returns'!A653</f>
        <v>45525</v>
      </c>
      <c r="D653" s="53">
        <f>('Log Returns'!B653*$B$2)+('Log Returns'!C653*$B$3)+('Log Returns'!D653*$B$4)+('Log Returns'!E653*$B$5)+('Log Returns'!F653*$B$6)</f>
        <v>3.5069772704489867E-3</v>
      </c>
    </row>
    <row r="654" spans="3:4" x14ac:dyDescent="0.35">
      <c r="C654" s="2">
        <f>'Log Returns'!A654</f>
        <v>45526</v>
      </c>
      <c r="D654" s="53">
        <f>('Log Returns'!B654*$B$2)+('Log Returns'!C654*$B$3)+('Log Returns'!D654*$B$4)+('Log Returns'!E654*$B$5)+('Log Returns'!F654*$B$6)</f>
        <v>9.566913910785418E-4</v>
      </c>
    </row>
    <row r="655" spans="3:4" x14ac:dyDescent="0.35">
      <c r="C655" s="2">
        <f>'Log Returns'!A655</f>
        <v>45527</v>
      </c>
      <c r="D655" s="53">
        <f>('Log Returns'!B655*$B$2)+('Log Returns'!C655*$B$3)+('Log Returns'!D655*$B$4)+('Log Returns'!E655*$B$5)+('Log Returns'!F655*$B$6)</f>
        <v>-8.2909462274738247E-4</v>
      </c>
    </row>
    <row r="656" spans="3:4" x14ac:dyDescent="0.35">
      <c r="C656" s="2">
        <f>'Log Returns'!A656</f>
        <v>45530</v>
      </c>
      <c r="D656" s="53">
        <f>('Log Returns'!B656*$B$2)+('Log Returns'!C656*$B$3)+('Log Returns'!D656*$B$4)+('Log Returns'!E656*$B$5)+('Log Returns'!F656*$B$6)</f>
        <v>6.4845080556071273E-3</v>
      </c>
    </row>
    <row r="657" spans="3:4" x14ac:dyDescent="0.35">
      <c r="C657" s="2">
        <f>'Log Returns'!A657</f>
        <v>45531</v>
      </c>
      <c r="D657" s="53">
        <f>('Log Returns'!B657*$B$2)+('Log Returns'!C657*$B$3)+('Log Returns'!D657*$B$4)+('Log Returns'!E657*$B$5)+('Log Returns'!F657*$B$6)</f>
        <v>7.985624613248408E-4</v>
      </c>
    </row>
    <row r="658" spans="3:4" x14ac:dyDescent="0.35">
      <c r="C658" s="2">
        <f>'Log Returns'!A658</f>
        <v>45532</v>
      </c>
      <c r="D658" s="53">
        <f>('Log Returns'!B658*$B$2)+('Log Returns'!C658*$B$3)+('Log Returns'!D658*$B$4)+('Log Returns'!E658*$B$5)+('Log Returns'!F658*$B$6)</f>
        <v>2.4419743969262596E-3</v>
      </c>
    </row>
    <row r="659" spans="3:4" x14ac:dyDescent="0.35">
      <c r="C659" s="2">
        <f>'Log Returns'!A659</f>
        <v>45533</v>
      </c>
      <c r="D659" s="53">
        <f>('Log Returns'!B659*$B$2)+('Log Returns'!C659*$B$3)+('Log Returns'!D659*$B$4)+('Log Returns'!E659*$B$5)+('Log Returns'!F659*$B$6)</f>
        <v>5.4534284320307547E-3</v>
      </c>
    </row>
    <row r="660" spans="3:4" x14ac:dyDescent="0.35">
      <c r="C660" s="2">
        <f>'Log Returns'!A660</f>
        <v>45534</v>
      </c>
      <c r="D660" s="53">
        <f>('Log Returns'!B660*$B$2)+('Log Returns'!C660*$B$3)+('Log Returns'!D660*$B$4)+('Log Returns'!E660*$B$5)+('Log Returns'!F660*$B$6)</f>
        <v>1.3463545538679449E-3</v>
      </c>
    </row>
    <row r="661" spans="3:4" x14ac:dyDescent="0.35">
      <c r="C661" s="2">
        <f>'Log Returns'!A661</f>
        <v>45537</v>
      </c>
      <c r="D661" s="53">
        <f>('Log Returns'!B661*$B$2)+('Log Returns'!C661*$B$3)+('Log Returns'!D661*$B$4)+('Log Returns'!E661*$B$5)+('Log Returns'!F661*$B$6)</f>
        <v>4.9062257934820675E-3</v>
      </c>
    </row>
    <row r="662" spans="3:4" x14ac:dyDescent="0.35">
      <c r="C662" s="2">
        <f>'Log Returns'!A662</f>
        <v>45538</v>
      </c>
      <c r="D662" s="53">
        <f>('Log Returns'!B662*$B$2)+('Log Returns'!C662*$B$3)+('Log Returns'!D662*$B$4)+('Log Returns'!E662*$B$5)+('Log Returns'!F662*$B$6)</f>
        <v>-1.0950779268231936E-3</v>
      </c>
    </row>
    <row r="663" spans="3:4" x14ac:dyDescent="0.35">
      <c r="C663" s="2">
        <f>'Log Returns'!A663</f>
        <v>45539</v>
      </c>
      <c r="D663" s="53">
        <f>('Log Returns'!B663*$B$2)+('Log Returns'!C663*$B$3)+('Log Returns'!D663*$B$4)+('Log Returns'!E663*$B$5)+('Log Returns'!F663*$B$6)</f>
        <v>-5.7325235864402373E-3</v>
      </c>
    </row>
    <row r="664" spans="3:4" x14ac:dyDescent="0.35">
      <c r="C664" s="2">
        <f>'Log Returns'!A664</f>
        <v>45540</v>
      </c>
      <c r="D664" s="53">
        <f>('Log Returns'!B664*$B$2)+('Log Returns'!C664*$B$3)+('Log Returns'!D664*$B$4)+('Log Returns'!E664*$B$5)+('Log Returns'!F664*$B$6)</f>
        <v>-6.4900122709483964E-5</v>
      </c>
    </row>
    <row r="665" spans="3:4" x14ac:dyDescent="0.35">
      <c r="C665" s="2">
        <f>'Log Returns'!A665</f>
        <v>45541</v>
      </c>
      <c r="D665" s="53">
        <f>('Log Returns'!B665*$B$2)+('Log Returns'!C665*$B$3)+('Log Returns'!D665*$B$4)+('Log Returns'!E665*$B$5)+('Log Returns'!F665*$B$6)</f>
        <v>-1.623438425771976E-2</v>
      </c>
    </row>
    <row r="666" spans="3:4" x14ac:dyDescent="0.35">
      <c r="C666" s="2">
        <f>'Log Returns'!A666</f>
        <v>45544</v>
      </c>
      <c r="D666" s="53">
        <f>('Log Returns'!B666*$B$2)+('Log Returns'!C666*$B$3)+('Log Returns'!D666*$B$4)+('Log Returns'!E666*$B$5)+('Log Returns'!F666*$B$6)</f>
        <v>6.9582080301929979E-3</v>
      </c>
    </row>
    <row r="667" spans="3:4" x14ac:dyDescent="0.35">
      <c r="C667" s="2">
        <f>'Log Returns'!A667</f>
        <v>45545</v>
      </c>
      <c r="D667" s="53">
        <f>('Log Returns'!B667*$B$2)+('Log Returns'!C667*$B$3)+('Log Returns'!D667*$B$4)+('Log Returns'!E667*$B$5)+('Log Returns'!F667*$B$6)</f>
        <v>5.4259121119350773E-3</v>
      </c>
    </row>
    <row r="668" spans="3:4" x14ac:dyDescent="0.35">
      <c r="C668" s="2">
        <f>'Log Returns'!A668</f>
        <v>45546</v>
      </c>
      <c r="D668" s="53">
        <f>('Log Returns'!B668*$B$2)+('Log Returns'!C668*$B$3)+('Log Returns'!D668*$B$4)+('Log Returns'!E668*$B$5)+('Log Returns'!F668*$B$6)</f>
        <v>-2.732300366389774E-3</v>
      </c>
    </row>
    <row r="669" spans="3:4" x14ac:dyDescent="0.35">
      <c r="C669" s="2">
        <f>'Log Returns'!A669</f>
        <v>45547</v>
      </c>
      <c r="D669" s="53">
        <f>('Log Returns'!B669*$B$2)+('Log Returns'!C669*$B$3)+('Log Returns'!D669*$B$4)+('Log Returns'!E669*$B$5)+('Log Returns'!F669*$B$6)</f>
        <v>1.4274061946715391E-2</v>
      </c>
    </row>
    <row r="670" spans="3:4" x14ac:dyDescent="0.35">
      <c r="C670" s="2">
        <f>'Log Returns'!A670</f>
        <v>45548</v>
      </c>
      <c r="D670" s="53">
        <f>('Log Returns'!B670*$B$2)+('Log Returns'!C670*$B$3)+('Log Returns'!D670*$B$4)+('Log Returns'!E670*$B$5)+('Log Returns'!F670*$B$6)</f>
        <v>-3.8795583609883368E-3</v>
      </c>
    </row>
    <row r="671" spans="3:4" x14ac:dyDescent="0.35">
      <c r="C671" s="2">
        <f>'Log Returns'!A671</f>
        <v>45551</v>
      </c>
      <c r="D671" s="53">
        <f>('Log Returns'!B671*$B$2)+('Log Returns'!C671*$B$3)+('Log Returns'!D671*$B$4)+('Log Returns'!E671*$B$5)+('Log Returns'!F671*$B$6)</f>
        <v>9.6078784047258308E-4</v>
      </c>
    </row>
    <row r="672" spans="3:4" x14ac:dyDescent="0.35">
      <c r="C672" s="2">
        <f>'Log Returns'!A672</f>
        <v>45552</v>
      </c>
      <c r="D672" s="53">
        <f>('Log Returns'!B672*$B$2)+('Log Returns'!C672*$B$3)+('Log Returns'!D672*$B$4)+('Log Returns'!E672*$B$5)+('Log Returns'!F672*$B$6)</f>
        <v>-4.5808333530006492E-4</v>
      </c>
    </row>
    <row r="673" spans="3:4" x14ac:dyDescent="0.35">
      <c r="C673" s="2">
        <f>'Log Returns'!A673</f>
        <v>45553</v>
      </c>
      <c r="D673" s="53">
        <f>('Log Returns'!B673*$B$2)+('Log Returns'!C673*$B$3)+('Log Returns'!D673*$B$4)+('Log Returns'!E673*$B$5)+('Log Returns'!F673*$B$6)</f>
        <v>-1.1688435944100663E-2</v>
      </c>
    </row>
    <row r="674" spans="3:4" x14ac:dyDescent="0.35">
      <c r="C674" s="2">
        <f>'Log Returns'!A674</f>
        <v>45554</v>
      </c>
      <c r="D674" s="53">
        <f>('Log Returns'!B674*$B$2)+('Log Returns'!C674*$B$3)+('Log Returns'!D674*$B$4)+('Log Returns'!E674*$B$5)+('Log Returns'!F674*$B$6)</f>
        <v>-3.2835352641091326E-4</v>
      </c>
    </row>
    <row r="675" spans="3:4" x14ac:dyDescent="0.35">
      <c r="C675" s="2">
        <f>'Log Returns'!A675</f>
        <v>45555</v>
      </c>
      <c r="D675" s="53">
        <f>('Log Returns'!B675*$B$2)+('Log Returns'!C675*$B$3)+('Log Returns'!D675*$B$4)+('Log Returns'!E675*$B$5)+('Log Returns'!F675*$B$6)</f>
        <v>1.2361171680570753E-2</v>
      </c>
    </row>
    <row r="676" spans="3:4" x14ac:dyDescent="0.35">
      <c r="C676" s="2">
        <f>'Log Returns'!A676</f>
        <v>45558</v>
      </c>
      <c r="D676" s="53">
        <f>('Log Returns'!B676*$B$2)+('Log Returns'!C676*$B$3)+('Log Returns'!D676*$B$4)+('Log Returns'!E676*$B$5)+('Log Returns'!F676*$B$6)</f>
        <v>-2.2454821114173875E-3</v>
      </c>
    </row>
    <row r="677" spans="3:4" x14ac:dyDescent="0.35">
      <c r="C677" s="2">
        <f>'Log Returns'!A677</f>
        <v>45559</v>
      </c>
      <c r="D677" s="53">
        <f>('Log Returns'!B677*$B$2)+('Log Returns'!C677*$B$3)+('Log Returns'!D677*$B$4)+('Log Returns'!E677*$B$5)+('Log Returns'!F677*$B$6)</f>
        <v>-1.3380792854779579E-3</v>
      </c>
    </row>
    <row r="678" spans="3:4" x14ac:dyDescent="0.35">
      <c r="C678" s="2">
        <f>'Log Returns'!A678</f>
        <v>45560</v>
      </c>
      <c r="D678" s="53">
        <f>('Log Returns'!B678*$B$2)+('Log Returns'!C678*$B$3)+('Log Returns'!D678*$B$4)+('Log Returns'!E678*$B$5)+('Log Returns'!F678*$B$6)</f>
        <v>2.1135008475322704E-3</v>
      </c>
    </row>
    <row r="679" spans="3:4" x14ac:dyDescent="0.35">
      <c r="C679" s="2">
        <f>'Log Returns'!A679</f>
        <v>45561</v>
      </c>
      <c r="D679" s="53">
        <f>('Log Returns'!B679*$B$2)+('Log Returns'!C679*$B$3)+('Log Returns'!D679*$B$4)+('Log Returns'!E679*$B$5)+('Log Returns'!F679*$B$6)</f>
        <v>4.6689606993820902E-3</v>
      </c>
    </row>
    <row r="680" spans="3:4" x14ac:dyDescent="0.35">
      <c r="C680" s="2">
        <f>'Log Returns'!A680</f>
        <v>45562</v>
      </c>
      <c r="D680" s="53">
        <f>('Log Returns'!B680*$B$2)+('Log Returns'!C680*$B$3)+('Log Returns'!D680*$B$4)+('Log Returns'!E680*$B$5)+('Log Returns'!F680*$B$6)</f>
        <v>1.7429783714802633E-3</v>
      </c>
    </row>
    <row r="681" spans="3:4" x14ac:dyDescent="0.35">
      <c r="C681" s="2">
        <f>'Log Returns'!A681</f>
        <v>45565</v>
      </c>
      <c r="D681" s="53">
        <f>('Log Returns'!B681*$B$2)+('Log Returns'!C681*$B$3)+('Log Returns'!D681*$B$4)+('Log Returns'!E681*$B$5)+('Log Returns'!F681*$B$6)</f>
        <v>-1.8735496062762813E-2</v>
      </c>
    </row>
    <row r="682" spans="3:4" x14ac:dyDescent="0.35">
      <c r="C682" s="2">
        <f>'Log Returns'!A682</f>
        <v>45566</v>
      </c>
      <c r="D682" s="53">
        <f>('Log Returns'!B682*$B$2)+('Log Returns'!C682*$B$3)+('Log Returns'!D682*$B$4)+('Log Returns'!E682*$B$5)+('Log Returns'!F682*$B$6)</f>
        <v>1.8150387420108002E-3</v>
      </c>
    </row>
    <row r="683" spans="3:4" x14ac:dyDescent="0.35">
      <c r="C683" s="2">
        <f>'Log Returns'!A683</f>
        <v>45568</v>
      </c>
      <c r="D683" s="53">
        <f>('Log Returns'!B683*$B$2)+('Log Returns'!C683*$B$3)+('Log Returns'!D683*$B$4)+('Log Returns'!E683*$B$5)+('Log Returns'!F683*$B$6)</f>
        <v>-1.5993737463578399E-2</v>
      </c>
    </row>
    <row r="684" spans="3:4" x14ac:dyDescent="0.35">
      <c r="C684" s="2">
        <f>'Log Returns'!A684</f>
        <v>45569</v>
      </c>
      <c r="D684" s="53">
        <f>('Log Returns'!B684*$B$2)+('Log Returns'!C684*$B$3)+('Log Returns'!D684*$B$4)+('Log Returns'!E684*$B$5)+('Log Returns'!F684*$B$6)</f>
        <v>-5.6942275852589971E-3</v>
      </c>
    </row>
    <row r="685" spans="3:4" x14ac:dyDescent="0.35">
      <c r="C685" s="2">
        <f>'Log Returns'!A685</f>
        <v>45572</v>
      </c>
      <c r="D685" s="53">
        <f>('Log Returns'!B685*$B$2)+('Log Returns'!C685*$B$3)+('Log Returns'!D685*$B$4)+('Log Returns'!E685*$B$5)+('Log Returns'!F685*$B$6)</f>
        <v>2.0315574379650026E-3</v>
      </c>
    </row>
    <row r="686" spans="3:4" x14ac:dyDescent="0.35">
      <c r="C686" s="2">
        <f>'Log Returns'!A686</f>
        <v>45573</v>
      </c>
      <c r="D686" s="53">
        <f>('Log Returns'!B686*$B$2)+('Log Returns'!C686*$B$3)+('Log Returns'!D686*$B$4)+('Log Returns'!E686*$B$5)+('Log Returns'!F686*$B$6)</f>
        <v>3.949353225424705E-3</v>
      </c>
    </row>
    <row r="687" spans="3:4" x14ac:dyDescent="0.35">
      <c r="C687" s="2">
        <f>'Log Returns'!A687</f>
        <v>45574</v>
      </c>
      <c r="D687" s="53">
        <f>('Log Returns'!B687*$B$2)+('Log Returns'!C687*$B$3)+('Log Returns'!D687*$B$4)+('Log Returns'!E687*$B$5)+('Log Returns'!F687*$B$6)</f>
        <v>-8.1550106180899133E-3</v>
      </c>
    </row>
    <row r="688" spans="3:4" x14ac:dyDescent="0.35">
      <c r="C688" s="2">
        <f>'Log Returns'!A688</f>
        <v>45575</v>
      </c>
      <c r="D688" s="53">
        <f>('Log Returns'!B688*$B$2)+('Log Returns'!C688*$B$3)+('Log Returns'!D688*$B$4)+('Log Returns'!E688*$B$5)+('Log Returns'!F688*$B$6)</f>
        <v>-5.1675886078808792E-3</v>
      </c>
    </row>
    <row r="689" spans="3:4" x14ac:dyDescent="0.35">
      <c r="C689" s="2">
        <f>'Log Returns'!A689</f>
        <v>45576</v>
      </c>
      <c r="D689" s="53">
        <f>('Log Returns'!B689*$B$2)+('Log Returns'!C689*$B$3)+('Log Returns'!D689*$B$4)+('Log Returns'!E689*$B$5)+('Log Returns'!F689*$B$6)</f>
        <v>-6.809300459765617E-3</v>
      </c>
    </row>
    <row r="690" spans="3:4" x14ac:dyDescent="0.35">
      <c r="C690" s="2">
        <f>'Log Returns'!A690</f>
        <v>45579</v>
      </c>
      <c r="D690" s="53">
        <f>('Log Returns'!B690*$B$2)+('Log Returns'!C690*$B$3)+('Log Returns'!D690*$B$4)+('Log Returns'!E690*$B$5)+('Log Returns'!F690*$B$6)</f>
        <v>6.8813397640381793E-3</v>
      </c>
    </row>
    <row r="691" spans="3:4" x14ac:dyDescent="0.35">
      <c r="C691" s="2">
        <f>'Log Returns'!A691</f>
        <v>45580</v>
      </c>
      <c r="D691" s="53">
        <f>('Log Returns'!B691*$B$2)+('Log Returns'!C691*$B$3)+('Log Returns'!D691*$B$4)+('Log Returns'!E691*$B$5)+('Log Returns'!F691*$B$6)</f>
        <v>-6.5263075741706675E-4</v>
      </c>
    </row>
    <row r="692" spans="3:4" x14ac:dyDescent="0.35">
      <c r="C692" s="2">
        <f>'Log Returns'!A692</f>
        <v>45581</v>
      </c>
      <c r="D692" s="53">
        <f>('Log Returns'!B692*$B$2)+('Log Returns'!C692*$B$3)+('Log Returns'!D692*$B$4)+('Log Returns'!E692*$B$5)+('Log Returns'!F692*$B$6)</f>
        <v>-7.756536806331411E-3</v>
      </c>
    </row>
    <row r="693" spans="3:4" x14ac:dyDescent="0.35">
      <c r="C693" s="2">
        <f>'Log Returns'!A693</f>
        <v>45582</v>
      </c>
      <c r="D693" s="53">
        <f>('Log Returns'!B693*$B$2)+('Log Returns'!C693*$B$3)+('Log Returns'!D693*$B$4)+('Log Returns'!E693*$B$5)+('Log Returns'!F693*$B$6)</f>
        <v>2.2998899549320885E-3</v>
      </c>
    </row>
    <row r="694" spans="3:4" x14ac:dyDescent="0.35">
      <c r="C694" s="2">
        <f>'Log Returns'!A694</f>
        <v>45583</v>
      </c>
      <c r="D694" s="53">
        <f>('Log Returns'!B694*$B$2)+('Log Returns'!C694*$B$3)+('Log Returns'!D694*$B$4)+('Log Returns'!E694*$B$5)+('Log Returns'!F694*$B$6)</f>
        <v>-3.6729413239878846E-3</v>
      </c>
    </row>
    <row r="695" spans="3:4" x14ac:dyDescent="0.35">
      <c r="C695" s="2">
        <f>'Log Returns'!A695</f>
        <v>45586</v>
      </c>
      <c r="D695" s="53">
        <f>('Log Returns'!B695*$B$2)+('Log Returns'!C695*$B$3)+('Log Returns'!D695*$B$4)+('Log Returns'!E695*$B$5)+('Log Returns'!F695*$B$6)</f>
        <v>-5.6516560779519484E-3</v>
      </c>
    </row>
    <row r="696" spans="3:4" x14ac:dyDescent="0.35">
      <c r="C696" s="2">
        <f>'Log Returns'!A696</f>
        <v>45587</v>
      </c>
      <c r="D696" s="53">
        <f>('Log Returns'!B696*$B$2)+('Log Returns'!C696*$B$3)+('Log Returns'!D696*$B$4)+('Log Returns'!E696*$B$5)+('Log Returns'!F696*$B$6)</f>
        <v>-6.544504577572898E-3</v>
      </c>
    </row>
    <row r="697" spans="3:4" x14ac:dyDescent="0.35">
      <c r="C697" s="2">
        <f>'Log Returns'!A697</f>
        <v>45588</v>
      </c>
      <c r="D697" s="53">
        <f>('Log Returns'!B697*$B$2)+('Log Returns'!C697*$B$3)+('Log Returns'!D697*$B$4)+('Log Returns'!E697*$B$5)+('Log Returns'!F697*$B$6)</f>
        <v>1.00712804403201E-3</v>
      </c>
    </row>
    <row r="698" spans="3:4" x14ac:dyDescent="0.35">
      <c r="C698" s="2">
        <f>'Log Returns'!A698</f>
        <v>45589</v>
      </c>
      <c r="D698" s="53">
        <f>('Log Returns'!B698*$B$2)+('Log Returns'!C698*$B$3)+('Log Returns'!D698*$B$4)+('Log Returns'!E698*$B$5)+('Log Returns'!F698*$B$6)</f>
        <v>-5.2445203144841947E-3</v>
      </c>
    </row>
    <row r="699" spans="3:4" x14ac:dyDescent="0.35">
      <c r="C699" s="2">
        <f>'Log Returns'!A699</f>
        <v>45590</v>
      </c>
      <c r="D699" s="53">
        <f>('Log Returns'!B699*$B$2)+('Log Returns'!C699*$B$3)+('Log Returns'!D699*$B$4)+('Log Returns'!E699*$B$5)+('Log Returns'!F699*$B$6)</f>
        <v>3.4210389353032796E-3</v>
      </c>
    </row>
    <row r="700" spans="3:4" x14ac:dyDescent="0.35">
      <c r="C700" s="2">
        <f>'Log Returns'!A700</f>
        <v>45593</v>
      </c>
      <c r="D700" s="53">
        <f>('Log Returns'!B700*$B$2)+('Log Returns'!C700*$B$3)+('Log Returns'!D700*$B$4)+('Log Returns'!E700*$B$5)+('Log Returns'!F700*$B$6)</f>
        <v>9.6020990341220084E-3</v>
      </c>
    </row>
    <row r="701" spans="3:4" x14ac:dyDescent="0.35">
      <c r="C701" s="2">
        <f>'Log Returns'!A701</f>
        <v>45594</v>
      </c>
      <c r="D701" s="53">
        <f>('Log Returns'!B701*$B$2)+('Log Returns'!C701*$B$3)+('Log Returns'!D701*$B$4)+('Log Returns'!E701*$B$5)+('Log Returns'!F701*$B$6)</f>
        <v>4.7780491477570275E-3</v>
      </c>
    </row>
    <row r="702" spans="3:4" x14ac:dyDescent="0.35">
      <c r="C702" s="2">
        <f>'Log Returns'!A702</f>
        <v>45595</v>
      </c>
      <c r="D702" s="53">
        <f>('Log Returns'!B702*$B$2)+('Log Returns'!C702*$B$3)+('Log Returns'!D702*$B$4)+('Log Returns'!E702*$B$5)+('Log Returns'!F702*$B$6)</f>
        <v>-4.5571298792306154E-3</v>
      </c>
    </row>
    <row r="703" spans="3:4" x14ac:dyDescent="0.35">
      <c r="C703" s="2">
        <f>'Log Returns'!A703</f>
        <v>45596</v>
      </c>
      <c r="D703" s="53">
        <f>('Log Returns'!B703*$B$2)+('Log Returns'!C703*$B$3)+('Log Returns'!D703*$B$4)+('Log Returns'!E703*$B$5)+('Log Returns'!F703*$B$6)</f>
        <v>-1.6761768127133179E-2</v>
      </c>
    </row>
    <row r="704" spans="3:4" x14ac:dyDescent="0.35">
      <c r="C704" s="2">
        <f>'Log Returns'!A704</f>
        <v>45597</v>
      </c>
      <c r="D704" s="53">
        <f>('Log Returns'!B704*$B$2)+('Log Returns'!C704*$B$3)+('Log Returns'!D704*$B$4)+('Log Returns'!E704*$B$5)+('Log Returns'!F704*$B$6)</f>
        <v>2.7335830655852412E-3</v>
      </c>
    </row>
    <row r="705" spans="3:4" x14ac:dyDescent="0.35">
      <c r="C705" s="2">
        <f>'Log Returns'!A705</f>
        <v>45600</v>
      </c>
      <c r="D705" s="53">
        <f>('Log Returns'!B705*$B$2)+('Log Returns'!C705*$B$3)+('Log Returns'!D705*$B$4)+('Log Returns'!E705*$B$5)+('Log Returns'!F705*$B$6)</f>
        <v>-1.0831240118411297E-2</v>
      </c>
    </row>
    <row r="706" spans="3:4" x14ac:dyDescent="0.35">
      <c r="C706" s="2">
        <f>'Log Returns'!A706</f>
        <v>45601</v>
      </c>
      <c r="D706" s="53">
        <f>('Log Returns'!B706*$B$2)+('Log Returns'!C706*$B$3)+('Log Returns'!D706*$B$4)+('Log Returns'!E706*$B$5)+('Log Returns'!F706*$B$6)</f>
        <v>9.745760383117019E-4</v>
      </c>
    </row>
    <row r="707" spans="3:4" x14ac:dyDescent="0.35">
      <c r="C707" s="2">
        <f>'Log Returns'!A707</f>
        <v>45602</v>
      </c>
      <c r="D707" s="53">
        <f>('Log Returns'!B707*$B$2)+('Log Returns'!C707*$B$3)+('Log Returns'!D707*$B$4)+('Log Returns'!E707*$B$5)+('Log Returns'!F707*$B$6)</f>
        <v>2.0368486143208974E-2</v>
      </c>
    </row>
    <row r="708" spans="3:4" x14ac:dyDescent="0.35">
      <c r="C708" s="2">
        <f>'Log Returns'!A708</f>
        <v>45603</v>
      </c>
      <c r="D708" s="53">
        <f>('Log Returns'!B708*$B$2)+('Log Returns'!C708*$B$3)+('Log Returns'!D708*$B$4)+('Log Returns'!E708*$B$5)+('Log Returns'!F708*$B$6)</f>
        <v>-9.7310909282311356E-3</v>
      </c>
    </row>
    <row r="709" spans="3:4" x14ac:dyDescent="0.35">
      <c r="C709" s="2">
        <f>'Log Returns'!A709</f>
        <v>45604</v>
      </c>
      <c r="D709" s="53">
        <f>('Log Returns'!B709*$B$2)+('Log Returns'!C709*$B$3)+('Log Returns'!D709*$B$4)+('Log Returns'!E709*$B$5)+('Log Returns'!F709*$B$6)</f>
        <v>-3.6764520076817664E-3</v>
      </c>
    </row>
    <row r="710" spans="3:4" x14ac:dyDescent="0.35">
      <c r="C710" s="2">
        <f>'Log Returns'!A710</f>
        <v>45607</v>
      </c>
      <c r="D710" s="53">
        <f>('Log Returns'!B710*$B$2)+('Log Returns'!C710*$B$3)+('Log Returns'!D710*$B$4)+('Log Returns'!E710*$B$5)+('Log Returns'!F710*$B$6)</f>
        <v>5.2102346288803647E-3</v>
      </c>
    </row>
    <row r="711" spans="3:4" x14ac:dyDescent="0.35">
      <c r="C711" s="2">
        <f>'Log Returns'!A711</f>
        <v>45608</v>
      </c>
      <c r="D711" s="53">
        <f>('Log Returns'!B711*$B$2)+('Log Returns'!C711*$B$3)+('Log Returns'!D711*$B$4)+('Log Returns'!E711*$B$5)+('Log Returns'!F711*$B$6)</f>
        <v>-4.0781540372834975E-4</v>
      </c>
    </row>
    <row r="712" spans="3:4" x14ac:dyDescent="0.35">
      <c r="C712" s="2">
        <f>'Log Returns'!A712</f>
        <v>45609</v>
      </c>
      <c r="D712" s="53">
        <f>('Log Returns'!B712*$B$2)+('Log Returns'!C712*$B$3)+('Log Returns'!D712*$B$4)+('Log Returns'!E712*$B$5)+('Log Returns'!F712*$B$6)</f>
        <v>-8.7633805160975912E-3</v>
      </c>
    </row>
    <row r="713" spans="3:4" x14ac:dyDescent="0.35">
      <c r="C713" s="2">
        <f>'Log Returns'!A713</f>
        <v>45610</v>
      </c>
      <c r="D713" s="53">
        <f>('Log Returns'!B713*$B$2)+('Log Returns'!C713*$B$3)+('Log Returns'!D713*$B$4)+('Log Returns'!E713*$B$5)+('Log Returns'!F713*$B$6)</f>
        <v>-3.043459700795342E-4</v>
      </c>
    </row>
    <row r="714" spans="3:4" x14ac:dyDescent="0.35">
      <c r="C714" s="2">
        <f>'Log Returns'!A714</f>
        <v>45614</v>
      </c>
      <c r="D714" s="53">
        <f>('Log Returns'!B714*$B$2)+('Log Returns'!C714*$B$3)+('Log Returns'!D714*$B$4)+('Log Returns'!E714*$B$5)+('Log Returns'!F714*$B$6)</f>
        <v>-1.3358368536178854E-2</v>
      </c>
    </row>
    <row r="715" spans="3:4" x14ac:dyDescent="0.35">
      <c r="C715" s="2">
        <f>'Log Returns'!A715</f>
        <v>45615</v>
      </c>
      <c r="D715" s="53">
        <f>('Log Returns'!B715*$B$2)+('Log Returns'!C715*$B$3)+('Log Returns'!D715*$B$4)+('Log Returns'!E715*$B$5)+('Log Returns'!F715*$B$6)</f>
        <v>-9.4609702046072612E-4</v>
      </c>
    </row>
    <row r="716" spans="3:4" x14ac:dyDescent="0.35">
      <c r="C716" s="2">
        <f>'Log Returns'!A716</f>
        <v>45617</v>
      </c>
      <c r="D716" s="53">
        <f>('Log Returns'!B716*$B$2)+('Log Returns'!C716*$B$3)+('Log Returns'!D716*$B$4)+('Log Returns'!E716*$B$5)+('Log Returns'!F716*$B$6)</f>
        <v>-4.5498308483927948E-3</v>
      </c>
    </row>
    <row r="717" spans="3:4" x14ac:dyDescent="0.35">
      <c r="C717" s="2">
        <f>'Log Returns'!A717</f>
        <v>45618</v>
      </c>
      <c r="D717" s="53">
        <f>('Log Returns'!B717*$B$2)+('Log Returns'!C717*$B$3)+('Log Returns'!D717*$B$4)+('Log Returns'!E717*$B$5)+('Log Returns'!F717*$B$6)</f>
        <v>3.4240652440023459E-2</v>
      </c>
    </row>
    <row r="718" spans="3:4" x14ac:dyDescent="0.35">
      <c r="C718" s="2">
        <f>'Log Returns'!A718</f>
        <v>45621</v>
      </c>
      <c r="D718" s="53">
        <f>('Log Returns'!B718*$B$2)+('Log Returns'!C718*$B$3)+('Log Returns'!D718*$B$4)+('Log Returns'!E718*$B$5)+('Log Returns'!F718*$B$6)</f>
        <v>9.8142959409621717E-3</v>
      </c>
    </row>
    <row r="719" spans="3:4" x14ac:dyDescent="0.35">
      <c r="C719" s="2">
        <f>'Log Returns'!A719</f>
        <v>45622</v>
      </c>
      <c r="D719" s="53">
        <f>('Log Returns'!B719*$B$2)+('Log Returns'!C719*$B$3)+('Log Returns'!D719*$B$4)+('Log Returns'!E719*$B$5)+('Log Returns'!F719*$B$6)</f>
        <v>7.3940659648313155E-3</v>
      </c>
    </row>
    <row r="720" spans="3:4" x14ac:dyDescent="0.35">
      <c r="C720" s="2">
        <f>'Log Returns'!A720</f>
        <v>45623</v>
      </c>
      <c r="D720" s="53">
        <f>('Log Returns'!B720*$B$2)+('Log Returns'!C720*$B$3)+('Log Returns'!D720*$B$4)+('Log Returns'!E720*$B$5)+('Log Returns'!F720*$B$6)</f>
        <v>-1.9524908100291929E-3</v>
      </c>
    </row>
    <row r="721" spans="3:4" x14ac:dyDescent="0.35">
      <c r="C721" s="2">
        <f>'Log Returns'!A721</f>
        <v>45624</v>
      </c>
      <c r="D721" s="53">
        <f>('Log Returns'!B721*$B$2)+('Log Returns'!C721*$B$3)+('Log Returns'!D721*$B$4)+('Log Returns'!E721*$B$5)+('Log Returns'!F721*$B$6)</f>
        <v>-1.7841263099200758E-2</v>
      </c>
    </row>
    <row r="722" spans="3:4" x14ac:dyDescent="0.35">
      <c r="C722" s="2">
        <f>'Log Returns'!A722</f>
        <v>45625</v>
      </c>
      <c r="D722" s="53">
        <f>('Log Returns'!B722*$B$2)+('Log Returns'!C722*$B$3)+('Log Returns'!D722*$B$4)+('Log Returns'!E722*$B$5)+('Log Returns'!F722*$B$6)</f>
        <v>7.5920910300703616E-3</v>
      </c>
    </row>
    <row r="723" spans="3:4" x14ac:dyDescent="0.35">
      <c r="C723" s="2">
        <f>'Log Returns'!A723</f>
        <v>45628</v>
      </c>
      <c r="D723" s="53">
        <f>('Log Returns'!B723*$B$2)+('Log Returns'!C723*$B$3)+('Log Returns'!D723*$B$4)+('Log Returns'!E723*$B$5)+('Log Returns'!F723*$B$6)</f>
        <v>6.1162134330005969E-3</v>
      </c>
    </row>
    <row r="724" spans="3:4" x14ac:dyDescent="0.35">
      <c r="C724" s="2">
        <f>'Log Returns'!A724</f>
        <v>45629</v>
      </c>
      <c r="D724" s="53">
        <f>('Log Returns'!B724*$B$2)+('Log Returns'!C724*$B$3)+('Log Returns'!D724*$B$4)+('Log Returns'!E724*$B$5)+('Log Returns'!F724*$B$6)</f>
        <v>3.2865308295184736E-3</v>
      </c>
    </row>
    <row r="725" spans="3:4" x14ac:dyDescent="0.35">
      <c r="C725" s="2">
        <f>'Log Returns'!A725</f>
        <v>45630</v>
      </c>
      <c r="D725" s="53">
        <f>('Log Returns'!B725*$B$2)+('Log Returns'!C725*$B$3)+('Log Returns'!D725*$B$4)+('Log Returns'!E725*$B$5)+('Log Returns'!F725*$B$6)</f>
        <v>-1.251633161381021E-3</v>
      </c>
    </row>
    <row r="726" spans="3:4" x14ac:dyDescent="0.35">
      <c r="C726" s="2">
        <f>'Log Returns'!A726</f>
        <v>45631</v>
      </c>
      <c r="D726" s="53">
        <f>('Log Returns'!B726*$B$2)+('Log Returns'!C726*$B$3)+('Log Returns'!D726*$B$4)+('Log Returns'!E726*$B$5)+('Log Returns'!F726*$B$6)</f>
        <v>1.499135455780713E-2</v>
      </c>
    </row>
    <row r="727" spans="3:4" x14ac:dyDescent="0.35">
      <c r="C727" s="2">
        <f>'Log Returns'!A727</f>
        <v>45632</v>
      </c>
      <c r="D727" s="53">
        <f>('Log Returns'!B727*$B$2)+('Log Returns'!C727*$B$3)+('Log Returns'!D727*$B$4)+('Log Returns'!E727*$B$5)+('Log Returns'!F727*$B$6)</f>
        <v>-3.327685631879621E-3</v>
      </c>
    </row>
    <row r="728" spans="3:4" x14ac:dyDescent="0.35">
      <c r="C728" s="2">
        <f>'Log Returns'!A728</f>
        <v>45635</v>
      </c>
      <c r="D728" s="53">
        <f>('Log Returns'!B728*$B$2)+('Log Returns'!C728*$B$3)+('Log Returns'!D728*$B$4)+('Log Returns'!E728*$B$5)+('Log Returns'!F728*$B$6)</f>
        <v>-5.7078186946775836E-3</v>
      </c>
    </row>
    <row r="729" spans="3:4" x14ac:dyDescent="0.35">
      <c r="C729" s="2">
        <f>'Log Returns'!A729</f>
        <v>45636</v>
      </c>
      <c r="D729" s="53">
        <f>('Log Returns'!B729*$B$2)+('Log Returns'!C729*$B$3)+('Log Returns'!D729*$B$4)+('Log Returns'!E729*$B$5)+('Log Returns'!F729*$B$6)</f>
        <v>1.5354040446640283E-3</v>
      </c>
    </row>
    <row r="730" spans="3:4" x14ac:dyDescent="0.35">
      <c r="C730" s="2">
        <f>'Log Returns'!A730</f>
        <v>45637</v>
      </c>
      <c r="D730" s="53">
        <f>('Log Returns'!B730*$B$2)+('Log Returns'!C730*$B$3)+('Log Returns'!D730*$B$4)+('Log Returns'!E730*$B$5)+('Log Returns'!F730*$B$6)</f>
        <v>8.1213641330608508E-4</v>
      </c>
    </row>
    <row r="731" spans="3:4" x14ac:dyDescent="0.35">
      <c r="C731" s="2">
        <f>'Log Returns'!A731</f>
        <v>45638</v>
      </c>
      <c r="D731" s="53">
        <f>('Log Returns'!B731*$B$2)+('Log Returns'!C731*$B$3)+('Log Returns'!D731*$B$4)+('Log Returns'!E731*$B$5)+('Log Returns'!F731*$B$6)</f>
        <v>-1.6184100167006125E-3</v>
      </c>
    </row>
    <row r="732" spans="3:4" x14ac:dyDescent="0.35">
      <c r="C732" s="2">
        <f>'Log Returns'!A732</f>
        <v>45639</v>
      </c>
      <c r="D732" s="53">
        <f>('Log Returns'!B732*$B$2)+('Log Returns'!C732*$B$3)+('Log Returns'!D732*$B$4)+('Log Returns'!E732*$B$5)+('Log Returns'!F732*$B$6)</f>
        <v>1.0077634872086197E-2</v>
      </c>
    </row>
    <row r="733" spans="3:4" x14ac:dyDescent="0.35">
      <c r="C733" s="2">
        <f>'Log Returns'!A733</f>
        <v>45642</v>
      </c>
      <c r="D733" s="53">
        <f>('Log Returns'!B733*$B$2)+('Log Returns'!C733*$B$3)+('Log Returns'!D733*$B$4)+('Log Returns'!E733*$B$5)+('Log Returns'!F733*$B$6)</f>
        <v>-5.1138507053655113E-3</v>
      </c>
    </row>
    <row r="734" spans="3:4" x14ac:dyDescent="0.35">
      <c r="C734" s="2">
        <f>'Log Returns'!A734</f>
        <v>45643</v>
      </c>
      <c r="D734" s="53">
        <f>('Log Returns'!B734*$B$2)+('Log Returns'!C734*$B$3)+('Log Returns'!D734*$B$4)+('Log Returns'!E734*$B$5)+('Log Returns'!F734*$B$6)</f>
        <v>-1.0052777197525108E-2</v>
      </c>
    </row>
    <row r="735" spans="3:4" x14ac:dyDescent="0.35">
      <c r="C735" s="2">
        <f>'Log Returns'!A735</f>
        <v>45644</v>
      </c>
      <c r="D735" s="53">
        <f>('Log Returns'!B735*$B$2)+('Log Returns'!C735*$B$3)+('Log Returns'!D735*$B$4)+('Log Returns'!E735*$B$5)+('Log Returns'!F735*$B$6)</f>
        <v>-1.3340136854977046E-4</v>
      </c>
    </row>
    <row r="736" spans="3:4" x14ac:dyDescent="0.35">
      <c r="C736" s="2">
        <f>'Log Returns'!A736</f>
        <v>45645</v>
      </c>
      <c r="D736" s="53">
        <f>('Log Returns'!B736*$B$2)+('Log Returns'!C736*$B$3)+('Log Returns'!D736*$B$4)+('Log Returns'!E736*$B$5)+('Log Returns'!F736*$B$6)</f>
        <v>-1.6432730892730195E-2</v>
      </c>
    </row>
    <row r="737" spans="3:4" x14ac:dyDescent="0.35">
      <c r="C737" s="2">
        <f>'Log Returns'!A737</f>
        <v>45646</v>
      </c>
      <c r="D737" s="53">
        <f>('Log Returns'!B737*$B$2)+('Log Returns'!C737*$B$3)+('Log Returns'!D737*$B$4)+('Log Returns'!E737*$B$5)+('Log Returns'!F737*$B$6)</f>
        <v>-1.2011111372050099E-2</v>
      </c>
    </row>
    <row r="738" spans="3:4" x14ac:dyDescent="0.35">
      <c r="C738" s="2">
        <f>'Log Returns'!A738</f>
        <v>45649</v>
      </c>
      <c r="D738" s="53">
        <f>('Log Returns'!B738*$B$2)+('Log Returns'!C738*$B$3)+('Log Returns'!D738*$B$4)+('Log Returns'!E738*$B$5)+('Log Returns'!F738*$B$6)</f>
        <v>7.8373513656051566E-3</v>
      </c>
    </row>
    <row r="739" spans="3:4" x14ac:dyDescent="0.35">
      <c r="C739" s="2">
        <f>'Log Returns'!A739</f>
        <v>45650</v>
      </c>
      <c r="D739" s="53">
        <f>('Log Returns'!B739*$B$2)+('Log Returns'!C739*$B$3)+('Log Returns'!D739*$B$4)+('Log Returns'!E739*$B$5)+('Log Returns'!F739*$B$6)</f>
        <v>1.3307284405224616E-3</v>
      </c>
    </row>
    <row r="740" spans="3:4" x14ac:dyDescent="0.35">
      <c r="C740" s="2">
        <f>'Log Returns'!A740</f>
        <v>45652</v>
      </c>
      <c r="D740" s="53">
        <f>('Log Returns'!B740*$B$2)+('Log Returns'!C740*$B$3)+('Log Returns'!D740*$B$4)+('Log Returns'!E740*$B$5)+('Log Returns'!F740*$B$6)</f>
        <v>-2.3009378911331285E-3</v>
      </c>
    </row>
    <row r="741" spans="3:4" x14ac:dyDescent="0.35">
      <c r="C741" s="2">
        <f>'Log Returns'!A741</f>
        <v>45653</v>
      </c>
      <c r="D741" s="53">
        <f>('Log Returns'!B741*$B$2)+('Log Returns'!C741*$B$3)+('Log Returns'!D741*$B$4)+('Log Returns'!E741*$B$5)+('Log Returns'!F741*$B$6)</f>
        <v>3.7690278758324624E-3</v>
      </c>
    </row>
    <row r="742" spans="3:4" x14ac:dyDescent="0.35">
      <c r="C742" s="2">
        <f>'Log Returns'!A742</f>
        <v>45656</v>
      </c>
      <c r="D742" s="53">
        <f>('Log Returns'!B742*$B$2)+('Log Returns'!C742*$B$3)+('Log Returns'!D742*$B$4)+('Log Returns'!E742*$B$5)+('Log Returns'!F742*$B$6)</f>
        <v>-5.7691620352529459E-3</v>
      </c>
    </row>
    <row r="743" spans="3:4" x14ac:dyDescent="0.35">
      <c r="C743" s="2">
        <f>'Log Returns'!A743</f>
        <v>45657</v>
      </c>
      <c r="D743" s="53">
        <f>('Log Returns'!B743*$B$2)+('Log Returns'!C743*$B$3)+('Log Returns'!D743*$B$4)+('Log Returns'!E743*$B$5)+('Log Returns'!F743*$B$6)</f>
        <v>-4.3154649389038824E-3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1D68-7860-4D25-B640-9144D1467A0E}">
  <dimension ref="A1:J746"/>
  <sheetViews>
    <sheetView workbookViewId="0">
      <selection sqref="A1:A1048576"/>
    </sheetView>
  </sheetViews>
  <sheetFormatPr defaultRowHeight="14.5" x14ac:dyDescent="0.35"/>
  <cols>
    <col min="1" max="1" width="10.08984375" style="2" bestFit="1" customWidth="1"/>
    <col min="2" max="2" width="19.90625" style="48" customWidth="1"/>
    <col min="3" max="3" width="15.36328125" style="47" customWidth="1"/>
    <col min="4" max="4" width="14.7265625" customWidth="1"/>
    <col min="5" max="5" width="14.6328125" style="53" customWidth="1"/>
    <col min="6" max="6" width="14.08984375" customWidth="1"/>
    <col min="7" max="7" width="5.6328125" customWidth="1"/>
    <col min="8" max="8" width="23.08984375" customWidth="1"/>
    <col min="9" max="9" width="35.36328125" customWidth="1"/>
    <col min="10" max="10" width="23.54296875" customWidth="1"/>
  </cols>
  <sheetData>
    <row r="1" spans="1:10" ht="17.5" thickBot="1" x14ac:dyDescent="0.55000000000000004">
      <c r="A1" s="65" t="s">
        <v>0</v>
      </c>
      <c r="B1" s="57" t="s">
        <v>9</v>
      </c>
      <c r="C1" s="56" t="s">
        <v>21</v>
      </c>
      <c r="D1" s="5" t="s">
        <v>22</v>
      </c>
      <c r="E1" s="52" t="s">
        <v>23</v>
      </c>
      <c r="F1" s="5" t="s">
        <v>22</v>
      </c>
      <c r="H1" s="40" t="s">
        <v>26</v>
      </c>
      <c r="I1" s="39"/>
      <c r="J1" s="34"/>
    </row>
    <row r="2" spans="1:10" x14ac:dyDescent="0.35">
      <c r="A2" s="2">
        <f>'VaR Model'!C2</f>
        <v>44565</v>
      </c>
      <c r="B2" s="48">
        <f>'VaR Model'!D2</f>
        <v>1.1182879484670987E-2</v>
      </c>
      <c r="C2" s="47">
        <f>'VaR Model'!$G$16</f>
        <v>-2.1486122599356419E-2</v>
      </c>
      <c r="D2">
        <f>IF(B2&lt;C2,1,0)</f>
        <v>0</v>
      </c>
      <c r="E2" s="53">
        <f>'VaR Model'!$G$21</f>
        <v>-1.5036332051297405E-2</v>
      </c>
      <c r="F2">
        <f>IF(B2&lt;E2,1,0)</f>
        <v>0</v>
      </c>
      <c r="H2" s="30" t="s">
        <v>27</v>
      </c>
      <c r="I2" s="35">
        <f>COUNT(A2:A743)</f>
        <v>742</v>
      </c>
    </row>
    <row r="3" spans="1:10" x14ac:dyDescent="0.35">
      <c r="A3" s="2">
        <f>'VaR Model'!C3</f>
        <v>44566</v>
      </c>
      <c r="B3" s="48">
        <f>'VaR Model'!D3</f>
        <v>-1.9514310158378425E-3</v>
      </c>
      <c r="C3" s="47">
        <f>'VaR Model'!$G$16</f>
        <v>-2.1486122599356419E-2</v>
      </c>
      <c r="D3">
        <f t="shared" ref="D3:D66" si="0">IF(B3&lt;C3,1,0)</f>
        <v>0</v>
      </c>
      <c r="E3" s="53">
        <f>'VaR Model'!$G$21</f>
        <v>-1.5036332051297405E-2</v>
      </c>
      <c r="F3">
        <f t="shared" ref="F3:F66" si="1">IF(B3&lt;E3,1,0)</f>
        <v>0</v>
      </c>
      <c r="H3" s="31"/>
      <c r="I3" s="35"/>
    </row>
    <row r="4" spans="1:10" x14ac:dyDescent="0.35">
      <c r="A4" s="2">
        <f>'VaR Model'!C4</f>
        <v>44567</v>
      </c>
      <c r="B4" s="48">
        <f>'VaR Model'!D4</f>
        <v>-1.25173066997382E-2</v>
      </c>
      <c r="C4" s="47">
        <f>'VaR Model'!$G$16</f>
        <v>-2.1486122599356419E-2</v>
      </c>
      <c r="D4">
        <f t="shared" si="0"/>
        <v>0</v>
      </c>
      <c r="E4" s="53">
        <f>'VaR Model'!$G$21</f>
        <v>-1.5036332051297405E-2</v>
      </c>
      <c r="F4">
        <f t="shared" si="1"/>
        <v>0</v>
      </c>
      <c r="H4" s="31" t="s">
        <v>29</v>
      </c>
      <c r="I4" s="35">
        <f>D745</f>
        <v>10</v>
      </c>
    </row>
    <row r="5" spans="1:10" x14ac:dyDescent="0.35">
      <c r="A5" s="2">
        <f>'VaR Model'!C5</f>
        <v>44568</v>
      </c>
      <c r="B5" s="48">
        <f>'VaR Model'!D5</f>
        <v>5.4297802469574453E-3</v>
      </c>
      <c r="C5" s="47">
        <f>'VaR Model'!$G$16</f>
        <v>-2.1486122599356419E-2</v>
      </c>
      <c r="D5">
        <f t="shared" si="0"/>
        <v>0</v>
      </c>
      <c r="E5" s="53">
        <f>'VaR Model'!$G$21</f>
        <v>-1.5036332051297405E-2</v>
      </c>
      <c r="F5">
        <f t="shared" si="1"/>
        <v>0</v>
      </c>
      <c r="H5" s="30" t="s">
        <v>28</v>
      </c>
      <c r="I5" s="35">
        <f>ROUND(COUNTA(A2:A743)*0.01,0)</f>
        <v>7</v>
      </c>
    </row>
    <row r="6" spans="1:10" x14ac:dyDescent="0.35">
      <c r="A6" s="2">
        <f>'VaR Model'!C6</f>
        <v>44571</v>
      </c>
      <c r="B6" s="48">
        <f>'VaR Model'!D6</f>
        <v>1.4307551602278571E-2</v>
      </c>
      <c r="C6" s="47">
        <f>'VaR Model'!$G$16</f>
        <v>-2.1486122599356419E-2</v>
      </c>
      <c r="D6">
        <f t="shared" si="0"/>
        <v>0</v>
      </c>
      <c r="E6" s="53">
        <f>'VaR Model'!$G$21</f>
        <v>-1.5036332051297405E-2</v>
      </c>
      <c r="F6">
        <f t="shared" si="1"/>
        <v>0</v>
      </c>
      <c r="H6" s="30" t="s">
        <v>31</v>
      </c>
      <c r="I6" s="41">
        <f>I4/I2</f>
        <v>1.3477088948787063E-2</v>
      </c>
    </row>
    <row r="7" spans="1:10" x14ac:dyDescent="0.35">
      <c r="A7" s="2">
        <f>'VaR Model'!C7</f>
        <v>44572</v>
      </c>
      <c r="B7" s="48">
        <f>'VaR Model'!D7</f>
        <v>2.5708721385186645E-3</v>
      </c>
      <c r="C7" s="47">
        <f>'VaR Model'!$G$16</f>
        <v>-2.1486122599356419E-2</v>
      </c>
      <c r="D7">
        <f t="shared" si="0"/>
        <v>0</v>
      </c>
      <c r="E7" s="53">
        <f>'VaR Model'!$G$21</f>
        <v>-1.5036332051297405E-2</v>
      </c>
      <c r="F7">
        <f t="shared" si="1"/>
        <v>0</v>
      </c>
      <c r="H7" s="30"/>
      <c r="I7" s="35"/>
    </row>
    <row r="8" spans="1:10" x14ac:dyDescent="0.35">
      <c r="A8" s="2">
        <f>'VaR Model'!C8</f>
        <v>44573</v>
      </c>
      <c r="B8" s="48">
        <f>'VaR Model'!D8</f>
        <v>8.6542242736393962E-3</v>
      </c>
      <c r="C8" s="47">
        <f>'VaR Model'!$G$16</f>
        <v>-2.1486122599356419E-2</v>
      </c>
      <c r="D8">
        <f t="shared" si="0"/>
        <v>0</v>
      </c>
      <c r="E8" s="53">
        <f>'VaR Model'!$G$21</f>
        <v>-1.5036332051297405E-2</v>
      </c>
      <c r="F8">
        <f t="shared" si="1"/>
        <v>0</v>
      </c>
      <c r="H8" s="30" t="s">
        <v>30</v>
      </c>
      <c r="I8" s="35">
        <f>F745</f>
        <v>35</v>
      </c>
    </row>
    <row r="9" spans="1:10" x14ac:dyDescent="0.35">
      <c r="A9" s="2">
        <f>'VaR Model'!C9</f>
        <v>44574</v>
      </c>
      <c r="B9" s="48">
        <f>'VaR Model'!D9</f>
        <v>6.4392229427935902E-3</v>
      </c>
      <c r="C9" s="47">
        <f>'VaR Model'!$G$16</f>
        <v>-2.1486122599356419E-2</v>
      </c>
      <c r="D9">
        <f t="shared" si="0"/>
        <v>0</v>
      </c>
      <c r="E9" s="53">
        <f>'VaR Model'!$G$21</f>
        <v>-1.5036332051297405E-2</v>
      </c>
      <c r="F9">
        <f t="shared" si="1"/>
        <v>0</v>
      </c>
      <c r="H9" s="30" t="s">
        <v>28</v>
      </c>
      <c r="I9" s="35">
        <f>ROUND(COUNT(A2:A743)*0.05,0)</f>
        <v>37</v>
      </c>
    </row>
    <row r="10" spans="1:10" x14ac:dyDescent="0.35">
      <c r="A10" s="2">
        <f>'VaR Model'!C10</f>
        <v>44575</v>
      </c>
      <c r="B10" s="48">
        <f>'VaR Model'!D10</f>
        <v>4.9147912296658349E-3</v>
      </c>
      <c r="C10" s="47">
        <f>'VaR Model'!$G$16</f>
        <v>-2.1486122599356419E-2</v>
      </c>
      <c r="D10">
        <f t="shared" si="0"/>
        <v>0</v>
      </c>
      <c r="E10" s="53">
        <f>'VaR Model'!$G$21</f>
        <v>-1.5036332051297405E-2</v>
      </c>
      <c r="F10">
        <f t="shared" si="1"/>
        <v>0</v>
      </c>
      <c r="H10" s="30" t="s">
        <v>32</v>
      </c>
      <c r="I10" s="41">
        <f>I8/I2</f>
        <v>4.716981132075472E-2</v>
      </c>
    </row>
    <row r="11" spans="1:10" x14ac:dyDescent="0.35">
      <c r="A11" s="2">
        <f>'VaR Model'!C11</f>
        <v>44578</v>
      </c>
      <c r="B11" s="48">
        <f>'VaR Model'!D11</f>
        <v>6.2618283531617651E-3</v>
      </c>
      <c r="C11" s="47">
        <f>'VaR Model'!$G$16</f>
        <v>-2.1486122599356419E-2</v>
      </c>
      <c r="D11">
        <f t="shared" si="0"/>
        <v>0</v>
      </c>
      <c r="E11" s="53">
        <f>'VaR Model'!$G$21</f>
        <v>-1.5036332051297405E-2</v>
      </c>
      <c r="F11">
        <f t="shared" si="1"/>
        <v>0</v>
      </c>
      <c r="H11" s="30"/>
      <c r="I11" s="35"/>
    </row>
    <row r="12" spans="1:10" x14ac:dyDescent="0.35">
      <c r="A12" s="2">
        <f>'VaR Model'!C12</f>
        <v>44579</v>
      </c>
      <c r="B12" s="48">
        <f>'VaR Model'!D12</f>
        <v>-8.3013322314267179E-3</v>
      </c>
      <c r="C12" s="47">
        <f>'VaR Model'!$G$16</f>
        <v>-2.1486122599356419E-2</v>
      </c>
      <c r="D12">
        <f t="shared" si="0"/>
        <v>0</v>
      </c>
      <c r="E12" s="53">
        <f>'VaR Model'!$G$21</f>
        <v>-1.5036332051297405E-2</v>
      </c>
      <c r="F12">
        <f t="shared" si="1"/>
        <v>0</v>
      </c>
      <c r="H12" s="30" t="s">
        <v>33</v>
      </c>
      <c r="I12" s="35" t="str">
        <f>IF(I4&lt;=I5,"✅ Accurate - Within Basel Limit","⚠️ Review Required - Exceeds Basel Limit")</f>
        <v>⚠️ Review Required - Exceeds Basel Limit</v>
      </c>
    </row>
    <row r="13" spans="1:10" x14ac:dyDescent="0.35">
      <c r="A13" s="2">
        <f>'VaR Model'!C13</f>
        <v>44580</v>
      </c>
      <c r="B13" s="48">
        <f>'VaR Model'!D13</f>
        <v>-1.3447475074478705E-2</v>
      </c>
      <c r="C13" s="47">
        <f>'VaR Model'!$G$16</f>
        <v>-2.1486122599356419E-2</v>
      </c>
      <c r="D13">
        <f t="shared" si="0"/>
        <v>0</v>
      </c>
      <c r="E13" s="53">
        <f>'VaR Model'!$G$21</f>
        <v>-1.5036332051297405E-2</v>
      </c>
      <c r="F13">
        <f t="shared" si="1"/>
        <v>0</v>
      </c>
      <c r="H13" s="37">
        <v>0.99</v>
      </c>
      <c r="I13" s="35"/>
    </row>
    <row r="14" spans="1:10" x14ac:dyDescent="0.35">
      <c r="A14" s="2">
        <f>'VaR Model'!C14</f>
        <v>44581</v>
      </c>
      <c r="B14" s="48">
        <f>'VaR Model'!D14</f>
        <v>-1.3833329913778915E-2</v>
      </c>
      <c r="C14" s="47">
        <f>'VaR Model'!$G$16</f>
        <v>-2.1486122599356419E-2</v>
      </c>
      <c r="D14">
        <f t="shared" si="0"/>
        <v>0</v>
      </c>
      <c r="E14" s="53">
        <f>'VaR Model'!$G$21</f>
        <v>-1.5036332051297405E-2</v>
      </c>
      <c r="F14">
        <f t="shared" si="1"/>
        <v>0</v>
      </c>
      <c r="H14" s="29"/>
      <c r="I14" s="35"/>
    </row>
    <row r="15" spans="1:10" x14ac:dyDescent="0.35">
      <c r="A15" s="2">
        <f>'VaR Model'!C15</f>
        <v>44582</v>
      </c>
      <c r="B15" s="48">
        <f>'VaR Model'!D15</f>
        <v>-6.8011825427007622E-3</v>
      </c>
      <c r="C15" s="47">
        <f>'VaR Model'!$G$16</f>
        <v>-2.1486122599356419E-2</v>
      </c>
      <c r="D15">
        <f t="shared" si="0"/>
        <v>0</v>
      </c>
      <c r="E15" s="53">
        <f>'VaR Model'!$G$21</f>
        <v>-1.5036332051297405E-2</v>
      </c>
      <c r="F15">
        <f t="shared" si="1"/>
        <v>0</v>
      </c>
      <c r="H15" s="30" t="s">
        <v>33</v>
      </c>
      <c r="I15" s="35" t="str">
        <f>IF(I8&lt;=I9,"✅ Accurate - Within Basel Limit","⚠️ Review Required - Exceeds Basel Limit")</f>
        <v>✅ Accurate - Within Basel Limit</v>
      </c>
    </row>
    <row r="16" spans="1:10" ht="15" thickBot="1" x14ac:dyDescent="0.4">
      <c r="A16" s="2">
        <f>'VaR Model'!C16</f>
        <v>44585</v>
      </c>
      <c r="B16" s="48">
        <f>'VaR Model'!D16</f>
        <v>-2.3463703588195925E-2</v>
      </c>
      <c r="C16" s="47">
        <f>'VaR Model'!$G$16</f>
        <v>-2.1486122599356419E-2</v>
      </c>
      <c r="D16">
        <f t="shared" si="0"/>
        <v>1</v>
      </c>
      <c r="E16" s="53">
        <f>'VaR Model'!$G$21</f>
        <v>-1.5036332051297405E-2</v>
      </c>
      <c r="F16">
        <f t="shared" si="1"/>
        <v>1</v>
      </c>
      <c r="H16" s="38">
        <v>0.95</v>
      </c>
      <c r="I16" s="36"/>
    </row>
    <row r="17" spans="1:8" x14ac:dyDescent="0.35">
      <c r="A17" s="2">
        <f>'VaR Model'!C17</f>
        <v>44586</v>
      </c>
      <c r="B17" s="48">
        <f>'VaR Model'!D17</f>
        <v>9.8442817474349558E-4</v>
      </c>
      <c r="C17" s="47">
        <f>'VaR Model'!$G$16</f>
        <v>-2.1486122599356419E-2</v>
      </c>
      <c r="D17">
        <f t="shared" si="0"/>
        <v>0</v>
      </c>
      <c r="E17" s="53">
        <f>'VaR Model'!$G$21</f>
        <v>-1.5036332051297405E-2</v>
      </c>
      <c r="F17">
        <f t="shared" si="1"/>
        <v>0</v>
      </c>
      <c r="H17" s="9"/>
    </row>
    <row r="18" spans="1:8" x14ac:dyDescent="0.35">
      <c r="A18" s="2">
        <f>'VaR Model'!C18</f>
        <v>44588</v>
      </c>
      <c r="B18" s="48">
        <f>'VaR Model'!D18</f>
        <v>-1.6087481203742555E-2</v>
      </c>
      <c r="C18" s="47">
        <f>'VaR Model'!$G$16</f>
        <v>-2.1486122599356419E-2</v>
      </c>
      <c r="D18">
        <f t="shared" si="0"/>
        <v>0</v>
      </c>
      <c r="E18" s="53">
        <f>'VaR Model'!$G$21</f>
        <v>-1.5036332051297405E-2</v>
      </c>
      <c r="F18">
        <f t="shared" si="1"/>
        <v>1</v>
      </c>
    </row>
    <row r="19" spans="1:8" x14ac:dyDescent="0.35">
      <c r="A19" s="2">
        <f>'VaR Model'!C19</f>
        <v>44589</v>
      </c>
      <c r="B19" s="48">
        <f>'VaR Model'!D19</f>
        <v>2.284459200059966E-3</v>
      </c>
      <c r="C19" s="47">
        <f>'VaR Model'!$G$16</f>
        <v>-2.1486122599356419E-2</v>
      </c>
      <c r="D19">
        <f t="shared" si="0"/>
        <v>0</v>
      </c>
      <c r="E19" s="53">
        <f>'VaR Model'!$G$21</f>
        <v>-1.5036332051297405E-2</v>
      </c>
      <c r="F19">
        <f t="shared" si="1"/>
        <v>0</v>
      </c>
    </row>
    <row r="20" spans="1:8" x14ac:dyDescent="0.35">
      <c r="A20" s="2">
        <f>'VaR Model'!C20</f>
        <v>44592</v>
      </c>
      <c r="B20" s="48">
        <f>'VaR Model'!D20</f>
        <v>1.6956772139744204E-2</v>
      </c>
      <c r="C20" s="47">
        <f>'VaR Model'!$G$16</f>
        <v>-2.1486122599356419E-2</v>
      </c>
      <c r="D20">
        <f t="shared" si="0"/>
        <v>0</v>
      </c>
      <c r="E20" s="53">
        <f>'VaR Model'!$G$21</f>
        <v>-1.5036332051297405E-2</v>
      </c>
      <c r="F20">
        <f t="shared" si="1"/>
        <v>0</v>
      </c>
    </row>
    <row r="21" spans="1:8" x14ac:dyDescent="0.35">
      <c r="A21" s="2">
        <f>'VaR Model'!C21</f>
        <v>44593</v>
      </c>
      <c r="B21" s="48">
        <f>'VaR Model'!D21</f>
        <v>1.8962536342330354E-2</v>
      </c>
      <c r="C21" s="47">
        <f>'VaR Model'!$G$16</f>
        <v>-2.1486122599356419E-2</v>
      </c>
      <c r="D21">
        <f t="shared" si="0"/>
        <v>0</v>
      </c>
      <c r="E21" s="53">
        <f>'VaR Model'!$G$21</f>
        <v>-1.5036332051297405E-2</v>
      </c>
      <c r="F21">
        <f t="shared" si="1"/>
        <v>0</v>
      </c>
    </row>
    <row r="22" spans="1:8" x14ac:dyDescent="0.35">
      <c r="A22" s="2">
        <f>'VaR Model'!C22</f>
        <v>44594</v>
      </c>
      <c r="B22" s="48">
        <f>'VaR Model'!D22</f>
        <v>9.6773006091781782E-3</v>
      </c>
      <c r="C22" s="47">
        <f>'VaR Model'!$G$16</f>
        <v>-2.1486122599356419E-2</v>
      </c>
      <c r="D22">
        <f t="shared" si="0"/>
        <v>0</v>
      </c>
      <c r="E22" s="53">
        <f>'VaR Model'!$G$21</f>
        <v>-1.5036332051297405E-2</v>
      </c>
      <c r="F22">
        <f t="shared" si="1"/>
        <v>0</v>
      </c>
    </row>
    <row r="23" spans="1:8" x14ac:dyDescent="0.35">
      <c r="A23" s="2">
        <f>'VaR Model'!C23</f>
        <v>44595</v>
      </c>
      <c r="B23" s="48">
        <f>'VaR Model'!D23</f>
        <v>-8.9667534428543375E-3</v>
      </c>
      <c r="C23" s="47">
        <f>'VaR Model'!$G$16</f>
        <v>-2.1486122599356419E-2</v>
      </c>
      <c r="D23">
        <f t="shared" si="0"/>
        <v>0</v>
      </c>
      <c r="E23" s="53">
        <f>'VaR Model'!$G$21</f>
        <v>-1.5036332051297405E-2</v>
      </c>
      <c r="F23">
        <f t="shared" si="1"/>
        <v>0</v>
      </c>
    </row>
    <row r="24" spans="1:8" x14ac:dyDescent="0.35">
      <c r="A24" s="2">
        <f>'VaR Model'!C24</f>
        <v>44596</v>
      </c>
      <c r="B24" s="48">
        <f>'VaR Model'!D24</f>
        <v>-3.1397812390691095E-3</v>
      </c>
      <c r="C24" s="47">
        <f>'VaR Model'!$G$16</f>
        <v>-2.1486122599356419E-2</v>
      </c>
      <c r="D24">
        <f t="shared" si="0"/>
        <v>0</v>
      </c>
      <c r="E24" s="53">
        <f>'VaR Model'!$G$21</f>
        <v>-1.5036332051297405E-2</v>
      </c>
      <c r="F24">
        <f t="shared" si="1"/>
        <v>0</v>
      </c>
    </row>
    <row r="25" spans="1:8" x14ac:dyDescent="0.35">
      <c r="A25" s="2">
        <f>'VaR Model'!C25</f>
        <v>44599</v>
      </c>
      <c r="B25" s="48">
        <f>'VaR Model'!D25</f>
        <v>-1.4353066081597915E-2</v>
      </c>
      <c r="C25" s="47">
        <f>'VaR Model'!$G$16</f>
        <v>-2.1486122599356419E-2</v>
      </c>
      <c r="D25">
        <f t="shared" si="0"/>
        <v>0</v>
      </c>
      <c r="E25" s="53">
        <f>'VaR Model'!$G$21</f>
        <v>-1.5036332051297405E-2</v>
      </c>
      <c r="F25">
        <f t="shared" si="1"/>
        <v>0</v>
      </c>
    </row>
    <row r="26" spans="1:8" x14ac:dyDescent="0.35">
      <c r="A26" s="2">
        <f>'VaR Model'!C26</f>
        <v>44600</v>
      </c>
      <c r="B26" s="48">
        <f>'VaR Model'!D26</f>
        <v>4.1671630051187594E-3</v>
      </c>
      <c r="C26" s="47">
        <f>'VaR Model'!$G$16</f>
        <v>-2.1486122599356419E-2</v>
      </c>
      <c r="D26">
        <f t="shared" si="0"/>
        <v>0</v>
      </c>
      <c r="E26" s="53">
        <f>'VaR Model'!$G$21</f>
        <v>-1.5036332051297405E-2</v>
      </c>
      <c r="F26">
        <f t="shared" si="1"/>
        <v>0</v>
      </c>
    </row>
    <row r="27" spans="1:8" x14ac:dyDescent="0.35">
      <c r="A27" s="2">
        <f>'VaR Model'!C27</f>
        <v>44601</v>
      </c>
      <c r="B27" s="48">
        <f>'VaR Model'!D27</f>
        <v>7.1729306240567343E-3</v>
      </c>
      <c r="C27" s="47">
        <f>'VaR Model'!$G$16</f>
        <v>-2.1486122599356419E-2</v>
      </c>
      <c r="D27">
        <f t="shared" si="0"/>
        <v>0</v>
      </c>
      <c r="E27" s="53">
        <f>'VaR Model'!$G$21</f>
        <v>-1.5036332051297405E-2</v>
      </c>
      <c r="F27">
        <f t="shared" si="1"/>
        <v>0</v>
      </c>
    </row>
    <row r="28" spans="1:8" x14ac:dyDescent="0.35">
      <c r="A28" s="2">
        <f>'VaR Model'!C28</f>
        <v>44602</v>
      </c>
      <c r="B28" s="48">
        <f>'VaR Model'!D28</f>
        <v>6.4876384148777107E-3</v>
      </c>
      <c r="C28" s="47">
        <f>'VaR Model'!$G$16</f>
        <v>-2.1486122599356419E-2</v>
      </c>
      <c r="D28">
        <f t="shared" si="0"/>
        <v>0</v>
      </c>
      <c r="E28" s="53">
        <f>'VaR Model'!$G$21</f>
        <v>-1.5036332051297405E-2</v>
      </c>
      <c r="F28">
        <f t="shared" si="1"/>
        <v>0</v>
      </c>
    </row>
    <row r="29" spans="1:8" x14ac:dyDescent="0.35">
      <c r="A29" s="2">
        <f>'VaR Model'!C29</f>
        <v>44603</v>
      </c>
      <c r="B29" s="48">
        <f>'VaR Model'!D29</f>
        <v>-1.3471386161545799E-2</v>
      </c>
      <c r="C29" s="47">
        <f>'VaR Model'!$G$16</f>
        <v>-2.1486122599356419E-2</v>
      </c>
      <c r="D29">
        <f t="shared" si="0"/>
        <v>0</v>
      </c>
      <c r="E29" s="53">
        <f>'VaR Model'!$G$21</f>
        <v>-1.5036332051297405E-2</v>
      </c>
      <c r="F29">
        <f t="shared" si="1"/>
        <v>0</v>
      </c>
    </row>
    <row r="30" spans="1:8" x14ac:dyDescent="0.35">
      <c r="A30" s="2">
        <f>'VaR Model'!C30</f>
        <v>44606</v>
      </c>
      <c r="B30" s="48">
        <f>'VaR Model'!D30</f>
        <v>-2.6843243927530704E-2</v>
      </c>
      <c r="C30" s="47">
        <f>'VaR Model'!$G$16</f>
        <v>-2.1486122599356419E-2</v>
      </c>
      <c r="D30">
        <f t="shared" si="0"/>
        <v>1</v>
      </c>
      <c r="E30" s="53">
        <f>'VaR Model'!$G$21</f>
        <v>-1.5036332051297405E-2</v>
      </c>
      <c r="F30">
        <f t="shared" si="1"/>
        <v>1</v>
      </c>
    </row>
    <row r="31" spans="1:8" x14ac:dyDescent="0.35">
      <c r="A31" s="2">
        <f>'VaR Model'!C31</f>
        <v>44607</v>
      </c>
      <c r="B31" s="48">
        <f>'VaR Model'!D31</f>
        <v>2.6738923446821522E-2</v>
      </c>
      <c r="C31" s="47">
        <f>'VaR Model'!$G$16</f>
        <v>-2.1486122599356419E-2</v>
      </c>
      <c r="D31">
        <f t="shared" si="0"/>
        <v>0</v>
      </c>
      <c r="E31" s="53">
        <f>'VaR Model'!$G$21</f>
        <v>-1.5036332051297405E-2</v>
      </c>
      <c r="F31">
        <f t="shared" si="1"/>
        <v>0</v>
      </c>
    </row>
    <row r="32" spans="1:8" x14ac:dyDescent="0.35">
      <c r="A32" s="2">
        <f>'VaR Model'!C32</f>
        <v>44608</v>
      </c>
      <c r="B32" s="48">
        <f>'VaR Model'!D32</f>
        <v>-4.5718680191814791E-3</v>
      </c>
      <c r="C32" s="47">
        <f>'VaR Model'!$G$16</f>
        <v>-2.1486122599356419E-2</v>
      </c>
      <c r="D32">
        <f t="shared" si="0"/>
        <v>0</v>
      </c>
      <c r="E32" s="53">
        <f>'VaR Model'!$G$21</f>
        <v>-1.5036332051297405E-2</v>
      </c>
      <c r="F32">
        <f t="shared" si="1"/>
        <v>0</v>
      </c>
    </row>
    <row r="33" spans="1:6" x14ac:dyDescent="0.35">
      <c r="A33" s="2">
        <f>'VaR Model'!C33</f>
        <v>44609</v>
      </c>
      <c r="B33" s="48">
        <f>'VaR Model'!D33</f>
        <v>-3.6965867701654535E-3</v>
      </c>
      <c r="C33" s="47">
        <f>'VaR Model'!$G$16</f>
        <v>-2.1486122599356419E-2</v>
      </c>
      <c r="D33">
        <f t="shared" si="0"/>
        <v>0</v>
      </c>
      <c r="E33" s="53">
        <f>'VaR Model'!$G$21</f>
        <v>-1.5036332051297405E-2</v>
      </c>
      <c r="F33">
        <f t="shared" si="1"/>
        <v>0</v>
      </c>
    </row>
    <row r="34" spans="1:6" x14ac:dyDescent="0.35">
      <c r="A34" s="2">
        <f>'VaR Model'!C34</f>
        <v>44610</v>
      </c>
      <c r="B34" s="48">
        <f>'VaR Model'!D34</f>
        <v>-4.1997474874777216E-3</v>
      </c>
      <c r="C34" s="47">
        <f>'VaR Model'!$G$16</f>
        <v>-2.1486122599356419E-2</v>
      </c>
      <c r="D34">
        <f t="shared" si="0"/>
        <v>0</v>
      </c>
      <c r="E34" s="53">
        <f>'VaR Model'!$G$21</f>
        <v>-1.5036332051297405E-2</v>
      </c>
      <c r="F34">
        <f t="shared" si="1"/>
        <v>0</v>
      </c>
    </row>
    <row r="35" spans="1:6" x14ac:dyDescent="0.35">
      <c r="A35" s="2">
        <f>'VaR Model'!C35</f>
        <v>44613</v>
      </c>
      <c r="B35" s="48">
        <f>'VaR Model'!D35</f>
        <v>-5.3036751384183695E-3</v>
      </c>
      <c r="C35" s="47">
        <f>'VaR Model'!$G$16</f>
        <v>-2.1486122599356419E-2</v>
      </c>
      <c r="D35">
        <f t="shared" si="0"/>
        <v>0</v>
      </c>
      <c r="E35" s="53">
        <f>'VaR Model'!$G$21</f>
        <v>-1.5036332051297405E-2</v>
      </c>
      <c r="F35">
        <f t="shared" si="1"/>
        <v>0</v>
      </c>
    </row>
    <row r="36" spans="1:6" x14ac:dyDescent="0.35">
      <c r="A36" s="2">
        <f>'VaR Model'!C36</f>
        <v>44614</v>
      </c>
      <c r="B36" s="48">
        <f>'VaR Model'!D36</f>
        <v>-1.1519960120515505E-2</v>
      </c>
      <c r="C36" s="47">
        <f>'VaR Model'!$G$16</f>
        <v>-2.1486122599356419E-2</v>
      </c>
      <c r="D36">
        <f t="shared" si="0"/>
        <v>0</v>
      </c>
      <c r="E36" s="53">
        <f>'VaR Model'!$G$21</f>
        <v>-1.5036332051297405E-2</v>
      </c>
      <c r="F36">
        <f t="shared" si="1"/>
        <v>0</v>
      </c>
    </row>
    <row r="37" spans="1:6" x14ac:dyDescent="0.35">
      <c r="A37" s="2">
        <f>'VaR Model'!C37</f>
        <v>44615</v>
      </c>
      <c r="B37" s="48">
        <f>'VaR Model'!D37</f>
        <v>-2.312918138853092E-3</v>
      </c>
      <c r="C37" s="47">
        <f>'VaR Model'!$G$16</f>
        <v>-2.1486122599356419E-2</v>
      </c>
      <c r="D37">
        <f t="shared" si="0"/>
        <v>0</v>
      </c>
      <c r="E37" s="53">
        <f>'VaR Model'!$G$21</f>
        <v>-1.5036332051297405E-2</v>
      </c>
      <c r="F37">
        <f t="shared" si="1"/>
        <v>0</v>
      </c>
    </row>
    <row r="38" spans="1:6" x14ac:dyDescent="0.35">
      <c r="A38" s="2">
        <f>'VaR Model'!C38</f>
        <v>44616</v>
      </c>
      <c r="B38" s="48">
        <f>'VaR Model'!D38</f>
        <v>-4.43740562797377E-2</v>
      </c>
      <c r="C38" s="47">
        <f>'VaR Model'!$G$16</f>
        <v>-2.1486122599356419E-2</v>
      </c>
      <c r="D38">
        <f t="shared" si="0"/>
        <v>1</v>
      </c>
      <c r="E38" s="53">
        <f>'VaR Model'!$G$21</f>
        <v>-1.5036332051297405E-2</v>
      </c>
      <c r="F38">
        <f t="shared" si="1"/>
        <v>1</v>
      </c>
    </row>
    <row r="39" spans="1:6" x14ac:dyDescent="0.35">
      <c r="A39" s="2">
        <f>'VaR Model'!C39</f>
        <v>44617</v>
      </c>
      <c r="B39" s="48">
        <f>'VaR Model'!D39</f>
        <v>2.2782265663331407E-2</v>
      </c>
      <c r="C39" s="47">
        <f>'VaR Model'!$G$16</f>
        <v>-2.1486122599356419E-2</v>
      </c>
      <c r="D39">
        <f t="shared" si="0"/>
        <v>0</v>
      </c>
      <c r="E39" s="53">
        <f>'VaR Model'!$G$21</f>
        <v>-1.5036332051297405E-2</v>
      </c>
      <c r="F39">
        <f t="shared" si="1"/>
        <v>0</v>
      </c>
    </row>
    <row r="40" spans="1:6" x14ac:dyDescent="0.35">
      <c r="A40" s="2">
        <f>'VaR Model'!C40</f>
        <v>44620</v>
      </c>
      <c r="B40" s="48">
        <f>'VaR Model'!D40</f>
        <v>1.6071998816094238E-2</v>
      </c>
      <c r="C40" s="47">
        <f>'VaR Model'!$G$16</f>
        <v>-2.1486122599356419E-2</v>
      </c>
      <c r="D40">
        <f t="shared" si="0"/>
        <v>0</v>
      </c>
      <c r="E40" s="53">
        <f>'VaR Model'!$G$21</f>
        <v>-1.5036332051297405E-2</v>
      </c>
      <c r="F40">
        <f t="shared" si="1"/>
        <v>0</v>
      </c>
    </row>
    <row r="41" spans="1:6" x14ac:dyDescent="0.35">
      <c r="A41" s="2">
        <f>'VaR Model'!C41</f>
        <v>44622</v>
      </c>
      <c r="B41" s="48">
        <f>'VaR Model'!D41</f>
        <v>-6.8273450896952047E-3</v>
      </c>
      <c r="C41" s="47">
        <f>'VaR Model'!$G$16</f>
        <v>-2.1486122599356419E-2</v>
      </c>
      <c r="D41">
        <f t="shared" si="0"/>
        <v>0</v>
      </c>
      <c r="E41" s="53">
        <f>'VaR Model'!$G$21</f>
        <v>-1.5036332051297405E-2</v>
      </c>
      <c r="F41">
        <f t="shared" si="1"/>
        <v>0</v>
      </c>
    </row>
    <row r="42" spans="1:6" x14ac:dyDescent="0.35">
      <c r="A42" s="2">
        <f>'VaR Model'!C42</f>
        <v>44623</v>
      </c>
      <c r="B42" s="48">
        <f>'VaR Model'!D42</f>
        <v>-5.9710683367148864E-4</v>
      </c>
      <c r="C42" s="47">
        <f>'VaR Model'!$G$16</f>
        <v>-2.1486122599356419E-2</v>
      </c>
      <c r="D42">
        <f t="shared" si="0"/>
        <v>0</v>
      </c>
      <c r="E42" s="53">
        <f>'VaR Model'!$G$21</f>
        <v>-1.5036332051297405E-2</v>
      </c>
      <c r="F42">
        <f t="shared" si="1"/>
        <v>0</v>
      </c>
    </row>
    <row r="43" spans="1:6" x14ac:dyDescent="0.35">
      <c r="A43" s="2">
        <f>'VaR Model'!C43</f>
        <v>44624</v>
      </c>
      <c r="B43" s="48">
        <f>'VaR Model'!D43</f>
        <v>-2.8077432337820767E-3</v>
      </c>
      <c r="C43" s="47">
        <f>'VaR Model'!$G$16</f>
        <v>-2.1486122599356419E-2</v>
      </c>
      <c r="D43">
        <f t="shared" si="0"/>
        <v>0</v>
      </c>
      <c r="E43" s="53">
        <f>'VaR Model'!$G$21</f>
        <v>-1.5036332051297405E-2</v>
      </c>
      <c r="F43">
        <f t="shared" si="1"/>
        <v>0</v>
      </c>
    </row>
    <row r="44" spans="1:6" x14ac:dyDescent="0.35">
      <c r="A44" s="2">
        <f>'VaR Model'!C44</f>
        <v>44627</v>
      </c>
      <c r="B44" s="48">
        <f>'VaR Model'!D44</f>
        <v>-1.8592163484137589E-2</v>
      </c>
      <c r="C44" s="47">
        <f>'VaR Model'!$G$16</f>
        <v>-2.1486122599356419E-2</v>
      </c>
      <c r="D44">
        <f t="shared" si="0"/>
        <v>0</v>
      </c>
      <c r="E44" s="53">
        <f>'VaR Model'!$G$21</f>
        <v>-1.5036332051297405E-2</v>
      </c>
      <c r="F44">
        <f t="shared" si="1"/>
        <v>1</v>
      </c>
    </row>
    <row r="45" spans="1:6" x14ac:dyDescent="0.35">
      <c r="A45" s="2">
        <f>'VaR Model'!C45</f>
        <v>44628</v>
      </c>
      <c r="B45" s="48">
        <f>'VaR Model'!D45</f>
        <v>1.5632997649709889E-2</v>
      </c>
      <c r="C45" s="47">
        <f>'VaR Model'!$G$16</f>
        <v>-2.1486122599356419E-2</v>
      </c>
      <c r="D45">
        <f t="shared" si="0"/>
        <v>0</v>
      </c>
      <c r="E45" s="53">
        <f>'VaR Model'!$G$21</f>
        <v>-1.5036332051297405E-2</v>
      </c>
      <c r="F45">
        <f t="shared" si="1"/>
        <v>0</v>
      </c>
    </row>
    <row r="46" spans="1:6" x14ac:dyDescent="0.35">
      <c r="A46" s="2">
        <f>'VaR Model'!C46</f>
        <v>44629</v>
      </c>
      <c r="B46" s="48">
        <f>'VaR Model'!D46</f>
        <v>1.8856288898287811E-2</v>
      </c>
      <c r="C46" s="47">
        <f>'VaR Model'!$G$16</f>
        <v>-2.1486122599356419E-2</v>
      </c>
      <c r="D46">
        <f t="shared" si="0"/>
        <v>0</v>
      </c>
      <c r="E46" s="53">
        <f>'VaR Model'!$G$21</f>
        <v>-1.5036332051297405E-2</v>
      </c>
      <c r="F46">
        <f t="shared" si="1"/>
        <v>0</v>
      </c>
    </row>
    <row r="47" spans="1:6" x14ac:dyDescent="0.35">
      <c r="A47" s="2">
        <f>'VaR Model'!C47</f>
        <v>44630</v>
      </c>
      <c r="B47" s="48">
        <f>'VaR Model'!D47</f>
        <v>9.058766044757199E-3</v>
      </c>
      <c r="C47" s="47">
        <f>'VaR Model'!$G$16</f>
        <v>-2.1486122599356419E-2</v>
      </c>
      <c r="D47">
        <f t="shared" si="0"/>
        <v>0</v>
      </c>
      <c r="E47" s="53">
        <f>'VaR Model'!$G$21</f>
        <v>-1.5036332051297405E-2</v>
      </c>
      <c r="F47">
        <f t="shared" si="1"/>
        <v>0</v>
      </c>
    </row>
    <row r="48" spans="1:6" x14ac:dyDescent="0.35">
      <c r="A48" s="2">
        <f>'VaR Model'!C48</f>
        <v>44631</v>
      </c>
      <c r="B48" s="48">
        <f>'VaR Model'!D48</f>
        <v>3.0394419075067602E-3</v>
      </c>
      <c r="C48" s="47">
        <f>'VaR Model'!$G$16</f>
        <v>-2.1486122599356419E-2</v>
      </c>
      <c r="D48">
        <f t="shared" si="0"/>
        <v>0</v>
      </c>
      <c r="E48" s="53">
        <f>'VaR Model'!$G$21</f>
        <v>-1.5036332051297405E-2</v>
      </c>
      <c r="F48">
        <f t="shared" si="1"/>
        <v>0</v>
      </c>
    </row>
    <row r="49" spans="1:6" x14ac:dyDescent="0.35">
      <c r="A49" s="2">
        <f>'VaR Model'!C49</f>
        <v>44634</v>
      </c>
      <c r="B49" s="48">
        <f>'VaR Model'!D49</f>
        <v>1.9004393910874193E-2</v>
      </c>
      <c r="C49" s="47">
        <f>'VaR Model'!$G$16</f>
        <v>-2.1486122599356419E-2</v>
      </c>
      <c r="D49">
        <f t="shared" si="0"/>
        <v>0</v>
      </c>
      <c r="E49" s="53">
        <f>'VaR Model'!$G$21</f>
        <v>-1.5036332051297405E-2</v>
      </c>
      <c r="F49">
        <f t="shared" si="1"/>
        <v>0</v>
      </c>
    </row>
    <row r="50" spans="1:6" x14ac:dyDescent="0.35">
      <c r="A50" s="2">
        <f>'VaR Model'!C50</f>
        <v>44635</v>
      </c>
      <c r="B50" s="48">
        <f>'VaR Model'!D50</f>
        <v>-1.3480912980842009E-2</v>
      </c>
      <c r="C50" s="47">
        <f>'VaR Model'!$G$16</f>
        <v>-2.1486122599356419E-2</v>
      </c>
      <c r="D50">
        <f t="shared" si="0"/>
        <v>0</v>
      </c>
      <c r="E50" s="53">
        <f>'VaR Model'!$G$21</f>
        <v>-1.5036332051297405E-2</v>
      </c>
      <c r="F50">
        <f t="shared" si="1"/>
        <v>0</v>
      </c>
    </row>
    <row r="51" spans="1:6" x14ac:dyDescent="0.35">
      <c r="A51" s="2">
        <f>'VaR Model'!C51</f>
        <v>44636</v>
      </c>
      <c r="B51" s="48">
        <f>'VaR Model'!D51</f>
        <v>1.9129711980961694E-2</v>
      </c>
      <c r="C51" s="47">
        <f>'VaR Model'!$G$16</f>
        <v>-2.1486122599356419E-2</v>
      </c>
      <c r="D51">
        <f t="shared" si="0"/>
        <v>0</v>
      </c>
      <c r="E51" s="53">
        <f>'VaR Model'!$G$21</f>
        <v>-1.5036332051297405E-2</v>
      </c>
      <c r="F51">
        <f t="shared" si="1"/>
        <v>0</v>
      </c>
    </row>
    <row r="52" spans="1:6" x14ac:dyDescent="0.35">
      <c r="A52" s="2">
        <f>'VaR Model'!C52</f>
        <v>44637</v>
      </c>
      <c r="B52" s="48">
        <f>'VaR Model'!D52</f>
        <v>8.8948887880418437E-3</v>
      </c>
      <c r="C52" s="47">
        <f>'VaR Model'!$G$16</f>
        <v>-2.1486122599356419E-2</v>
      </c>
      <c r="D52">
        <f t="shared" si="0"/>
        <v>0</v>
      </c>
      <c r="E52" s="53">
        <f>'VaR Model'!$G$21</f>
        <v>-1.5036332051297405E-2</v>
      </c>
      <c r="F52">
        <f t="shared" si="1"/>
        <v>0</v>
      </c>
    </row>
    <row r="53" spans="1:6" x14ac:dyDescent="0.35">
      <c r="A53" s="2">
        <f>'VaR Model'!C53</f>
        <v>44641</v>
      </c>
      <c r="B53" s="48">
        <f>'VaR Model'!D53</f>
        <v>-6.7870850982924098E-3</v>
      </c>
      <c r="C53" s="47">
        <f>'VaR Model'!$G$16</f>
        <v>-2.1486122599356419E-2</v>
      </c>
      <c r="D53">
        <f t="shared" si="0"/>
        <v>0</v>
      </c>
      <c r="E53" s="53">
        <f>'VaR Model'!$G$21</f>
        <v>-1.5036332051297405E-2</v>
      </c>
      <c r="F53">
        <f t="shared" si="1"/>
        <v>0</v>
      </c>
    </row>
    <row r="54" spans="1:6" x14ac:dyDescent="0.35">
      <c r="A54" s="2">
        <f>'VaR Model'!C54</f>
        <v>44642</v>
      </c>
      <c r="B54" s="48">
        <f>'VaR Model'!D54</f>
        <v>1.9161568908821213E-2</v>
      </c>
      <c r="C54" s="47">
        <f>'VaR Model'!$G$16</f>
        <v>-2.1486122599356419E-2</v>
      </c>
      <c r="D54">
        <f t="shared" si="0"/>
        <v>0</v>
      </c>
      <c r="E54" s="53">
        <f>'VaR Model'!$G$21</f>
        <v>-1.5036332051297405E-2</v>
      </c>
      <c r="F54">
        <f t="shared" si="1"/>
        <v>0</v>
      </c>
    </row>
    <row r="55" spans="1:6" x14ac:dyDescent="0.35">
      <c r="A55" s="2">
        <f>'VaR Model'!C55</f>
        <v>44643</v>
      </c>
      <c r="B55" s="48">
        <f>'VaR Model'!D55</f>
        <v>1.4796315924685026E-3</v>
      </c>
      <c r="C55" s="47">
        <f>'VaR Model'!$G$16</f>
        <v>-2.1486122599356419E-2</v>
      </c>
      <c r="D55">
        <f t="shared" si="0"/>
        <v>0</v>
      </c>
      <c r="E55" s="53">
        <f>'VaR Model'!$G$21</f>
        <v>-1.5036332051297405E-2</v>
      </c>
      <c r="F55">
        <f t="shared" si="1"/>
        <v>0</v>
      </c>
    </row>
    <row r="56" spans="1:6" x14ac:dyDescent="0.35">
      <c r="A56" s="2">
        <f>'VaR Model'!C56</f>
        <v>44644</v>
      </c>
      <c r="B56" s="48">
        <f>'VaR Model'!D56</f>
        <v>4.8971369798437876E-3</v>
      </c>
      <c r="C56" s="47">
        <f>'VaR Model'!$G$16</f>
        <v>-2.1486122599356419E-2</v>
      </c>
      <c r="D56">
        <f t="shared" si="0"/>
        <v>0</v>
      </c>
      <c r="E56" s="53">
        <f>'VaR Model'!$G$21</f>
        <v>-1.5036332051297405E-2</v>
      </c>
      <c r="F56">
        <f t="shared" si="1"/>
        <v>0</v>
      </c>
    </row>
    <row r="57" spans="1:6" x14ac:dyDescent="0.35">
      <c r="A57" s="2">
        <f>'VaR Model'!C57</f>
        <v>44645</v>
      </c>
      <c r="B57" s="48">
        <f>'VaR Model'!D57</f>
        <v>-4.6163104881898186E-3</v>
      </c>
      <c r="C57" s="47">
        <f>'VaR Model'!$G$16</f>
        <v>-2.1486122599356419E-2</v>
      </c>
      <c r="D57">
        <f t="shared" si="0"/>
        <v>0</v>
      </c>
      <c r="E57" s="53">
        <f>'VaR Model'!$G$21</f>
        <v>-1.5036332051297405E-2</v>
      </c>
      <c r="F57">
        <f t="shared" si="1"/>
        <v>0</v>
      </c>
    </row>
    <row r="58" spans="1:6" x14ac:dyDescent="0.35">
      <c r="A58" s="2">
        <f>'VaR Model'!C58</f>
        <v>44648</v>
      </c>
      <c r="B58" s="48">
        <f>'VaR Model'!D58</f>
        <v>7.7817601425767642E-3</v>
      </c>
      <c r="C58" s="47">
        <f>'VaR Model'!$G$16</f>
        <v>-2.1486122599356419E-2</v>
      </c>
      <c r="D58">
        <f t="shared" si="0"/>
        <v>0</v>
      </c>
      <c r="E58" s="53">
        <f>'VaR Model'!$G$21</f>
        <v>-1.5036332051297405E-2</v>
      </c>
      <c r="F58">
        <f t="shared" si="1"/>
        <v>0</v>
      </c>
    </row>
    <row r="59" spans="1:6" x14ac:dyDescent="0.35">
      <c r="A59" s="2">
        <f>'VaR Model'!C59</f>
        <v>44649</v>
      </c>
      <c r="B59" s="48">
        <f>'VaR Model'!D59</f>
        <v>6.7929473698361584E-4</v>
      </c>
      <c r="C59" s="47">
        <f>'VaR Model'!$G$16</f>
        <v>-2.1486122599356419E-2</v>
      </c>
      <c r="D59">
        <f t="shared" si="0"/>
        <v>0</v>
      </c>
      <c r="E59" s="53">
        <f>'VaR Model'!$G$21</f>
        <v>-1.5036332051297405E-2</v>
      </c>
      <c r="F59">
        <f t="shared" si="1"/>
        <v>0</v>
      </c>
    </row>
    <row r="60" spans="1:6" x14ac:dyDescent="0.35">
      <c r="A60" s="2">
        <f>'VaR Model'!C60</f>
        <v>44650</v>
      </c>
      <c r="B60" s="48">
        <f>'VaR Model'!D60</f>
        <v>7.1384886011983742E-3</v>
      </c>
      <c r="C60" s="47">
        <f>'VaR Model'!$G$16</f>
        <v>-2.1486122599356419E-2</v>
      </c>
      <c r="D60">
        <f t="shared" si="0"/>
        <v>0</v>
      </c>
      <c r="E60" s="53">
        <f>'VaR Model'!$G$21</f>
        <v>-1.5036332051297405E-2</v>
      </c>
      <c r="F60">
        <f t="shared" si="1"/>
        <v>0</v>
      </c>
    </row>
    <row r="61" spans="1:6" x14ac:dyDescent="0.35">
      <c r="A61" s="2">
        <f>'VaR Model'!C61</f>
        <v>44651</v>
      </c>
      <c r="B61" s="48">
        <f>'VaR Model'!D61</f>
        <v>-1.1286603310294101E-3</v>
      </c>
      <c r="C61" s="47">
        <f>'VaR Model'!$G$16</f>
        <v>-2.1486122599356419E-2</v>
      </c>
      <c r="D61">
        <f t="shared" si="0"/>
        <v>0</v>
      </c>
      <c r="E61" s="53">
        <f>'VaR Model'!$G$21</f>
        <v>-1.5036332051297405E-2</v>
      </c>
      <c r="F61">
        <f t="shared" si="1"/>
        <v>0</v>
      </c>
    </row>
    <row r="62" spans="1:6" x14ac:dyDescent="0.35">
      <c r="A62" s="2">
        <f>'VaR Model'!C62</f>
        <v>44652</v>
      </c>
      <c r="B62" s="48">
        <f>'VaR Model'!D62</f>
        <v>5.9783280822947923E-3</v>
      </c>
      <c r="C62" s="47">
        <f>'VaR Model'!$G$16</f>
        <v>-2.1486122599356419E-2</v>
      </c>
      <c r="D62">
        <f t="shared" si="0"/>
        <v>0</v>
      </c>
      <c r="E62" s="53">
        <f>'VaR Model'!$G$21</f>
        <v>-1.5036332051297405E-2</v>
      </c>
      <c r="F62">
        <f t="shared" si="1"/>
        <v>0</v>
      </c>
    </row>
    <row r="63" spans="1:6" x14ac:dyDescent="0.35">
      <c r="A63" s="2">
        <f>'VaR Model'!C63</f>
        <v>44655</v>
      </c>
      <c r="B63" s="48">
        <f>'VaR Model'!D63</f>
        <v>3.5122181902715243E-3</v>
      </c>
      <c r="C63" s="47">
        <f>'VaR Model'!$G$16</f>
        <v>-2.1486122599356419E-2</v>
      </c>
      <c r="D63">
        <f t="shared" si="0"/>
        <v>0</v>
      </c>
      <c r="E63" s="53">
        <f>'VaR Model'!$G$21</f>
        <v>-1.5036332051297405E-2</v>
      </c>
      <c r="F63">
        <f t="shared" si="1"/>
        <v>0</v>
      </c>
    </row>
    <row r="64" spans="1:6" x14ac:dyDescent="0.35">
      <c r="A64" s="2">
        <f>'VaR Model'!C64</f>
        <v>44656</v>
      </c>
      <c r="B64" s="48">
        <f>'VaR Model'!D64</f>
        <v>-1.019828160302042E-3</v>
      </c>
      <c r="C64" s="47">
        <f>'VaR Model'!$G$16</f>
        <v>-2.1486122599356419E-2</v>
      </c>
      <c r="D64">
        <f t="shared" si="0"/>
        <v>0</v>
      </c>
      <c r="E64" s="53">
        <f>'VaR Model'!$G$21</f>
        <v>-1.5036332051297405E-2</v>
      </c>
      <c r="F64">
        <f t="shared" si="1"/>
        <v>0</v>
      </c>
    </row>
    <row r="65" spans="1:6" x14ac:dyDescent="0.35">
      <c r="A65" s="2">
        <f>'VaR Model'!C65</f>
        <v>44657</v>
      </c>
      <c r="B65" s="48">
        <f>'VaR Model'!D65</f>
        <v>-7.1100075380107625E-3</v>
      </c>
      <c r="C65" s="47">
        <f>'VaR Model'!$G$16</f>
        <v>-2.1486122599356419E-2</v>
      </c>
      <c r="D65">
        <f t="shared" si="0"/>
        <v>0</v>
      </c>
      <c r="E65" s="53">
        <f>'VaR Model'!$G$21</f>
        <v>-1.5036332051297405E-2</v>
      </c>
      <c r="F65">
        <f t="shared" si="1"/>
        <v>0</v>
      </c>
    </row>
    <row r="66" spans="1:6" x14ac:dyDescent="0.35">
      <c r="A66" s="2">
        <f>'VaR Model'!C66</f>
        <v>44658</v>
      </c>
      <c r="B66" s="48">
        <f>'VaR Model'!D66</f>
        <v>-9.7693403855832542E-3</v>
      </c>
      <c r="C66" s="47">
        <f>'VaR Model'!$G$16</f>
        <v>-2.1486122599356419E-2</v>
      </c>
      <c r="D66">
        <f t="shared" si="0"/>
        <v>0</v>
      </c>
      <c r="E66" s="53">
        <f>'VaR Model'!$G$21</f>
        <v>-1.5036332051297405E-2</v>
      </c>
      <c r="F66">
        <f t="shared" si="1"/>
        <v>0</v>
      </c>
    </row>
    <row r="67" spans="1:6" x14ac:dyDescent="0.35">
      <c r="A67" s="2">
        <f>'VaR Model'!C67</f>
        <v>44659</v>
      </c>
      <c r="B67" s="48">
        <f>'VaR Model'!D67</f>
        <v>1.2585883560827675E-2</v>
      </c>
      <c r="C67" s="47">
        <f>'VaR Model'!$G$16</f>
        <v>-2.1486122599356419E-2</v>
      </c>
      <c r="D67">
        <f t="shared" ref="D67:D130" si="2">IF(B67&lt;C67,1,0)</f>
        <v>0</v>
      </c>
      <c r="E67" s="53">
        <f>'VaR Model'!$G$21</f>
        <v>-1.5036332051297405E-2</v>
      </c>
      <c r="F67">
        <f t="shared" ref="F67:F130" si="3">IF(B67&lt;E67,1,0)</f>
        <v>0</v>
      </c>
    </row>
    <row r="68" spans="1:6" x14ac:dyDescent="0.35">
      <c r="A68" s="2">
        <f>'VaR Model'!C68</f>
        <v>44662</v>
      </c>
      <c r="B68" s="48">
        <f>'VaR Model'!D68</f>
        <v>-2.7965658194100493E-3</v>
      </c>
      <c r="C68" s="47">
        <f>'VaR Model'!$G$16</f>
        <v>-2.1486122599356419E-2</v>
      </c>
      <c r="D68">
        <f t="shared" si="2"/>
        <v>0</v>
      </c>
      <c r="E68" s="53">
        <f>'VaR Model'!$G$21</f>
        <v>-1.5036332051297405E-2</v>
      </c>
      <c r="F68">
        <f t="shared" si="3"/>
        <v>0</v>
      </c>
    </row>
    <row r="69" spans="1:6" x14ac:dyDescent="0.35">
      <c r="A69" s="2">
        <f>'VaR Model'!C69</f>
        <v>44663</v>
      </c>
      <c r="B69" s="48">
        <f>'VaR Model'!D69</f>
        <v>-8.9763998213447053E-3</v>
      </c>
      <c r="C69" s="47">
        <f>'VaR Model'!$G$16</f>
        <v>-2.1486122599356419E-2</v>
      </c>
      <c r="D69">
        <f t="shared" si="2"/>
        <v>0</v>
      </c>
      <c r="E69" s="53">
        <f>'VaR Model'!$G$21</f>
        <v>-1.5036332051297405E-2</v>
      </c>
      <c r="F69">
        <f t="shared" si="3"/>
        <v>0</v>
      </c>
    </row>
    <row r="70" spans="1:6" x14ac:dyDescent="0.35">
      <c r="A70" s="2">
        <f>'VaR Model'!C70</f>
        <v>44664</v>
      </c>
      <c r="B70" s="48">
        <f>'VaR Model'!D70</f>
        <v>2.7410140723081663E-3</v>
      </c>
      <c r="C70" s="47">
        <f>'VaR Model'!$G$16</f>
        <v>-2.1486122599356419E-2</v>
      </c>
      <c r="D70">
        <f t="shared" si="2"/>
        <v>0</v>
      </c>
      <c r="E70" s="53">
        <f>'VaR Model'!$G$21</f>
        <v>-1.5036332051297405E-2</v>
      </c>
      <c r="F70">
        <f t="shared" si="3"/>
        <v>0</v>
      </c>
    </row>
    <row r="71" spans="1:6" x14ac:dyDescent="0.35">
      <c r="A71" s="2">
        <f>'VaR Model'!C71</f>
        <v>44669</v>
      </c>
      <c r="B71" s="48">
        <f>'VaR Model'!D71</f>
        <v>-2.515053120280298E-2</v>
      </c>
      <c r="C71" s="47">
        <f>'VaR Model'!$G$16</f>
        <v>-2.1486122599356419E-2</v>
      </c>
      <c r="D71">
        <f t="shared" si="2"/>
        <v>1</v>
      </c>
      <c r="E71" s="53">
        <f>'VaR Model'!$G$21</f>
        <v>-1.5036332051297405E-2</v>
      </c>
      <c r="F71">
        <f t="shared" si="3"/>
        <v>1</v>
      </c>
    </row>
    <row r="72" spans="1:6" x14ac:dyDescent="0.35">
      <c r="A72" s="2">
        <f>'VaR Model'!C72</f>
        <v>44670</v>
      </c>
      <c r="B72" s="48">
        <f>'VaR Model'!D72</f>
        <v>-6.1693501816840485E-3</v>
      </c>
      <c r="C72" s="47">
        <f>'VaR Model'!$G$16</f>
        <v>-2.1486122599356419E-2</v>
      </c>
      <c r="D72">
        <f t="shared" si="2"/>
        <v>0</v>
      </c>
      <c r="E72" s="53">
        <f>'VaR Model'!$G$21</f>
        <v>-1.5036332051297405E-2</v>
      </c>
      <c r="F72">
        <f t="shared" si="3"/>
        <v>0</v>
      </c>
    </row>
    <row r="73" spans="1:6" x14ac:dyDescent="0.35">
      <c r="A73" s="2">
        <f>'VaR Model'!C73</f>
        <v>44671</v>
      </c>
      <c r="B73" s="48">
        <f>'VaR Model'!D73</f>
        <v>9.5296948900604559E-3</v>
      </c>
      <c r="C73" s="47">
        <f>'VaR Model'!$G$16</f>
        <v>-2.1486122599356419E-2</v>
      </c>
      <c r="D73">
        <f t="shared" si="2"/>
        <v>0</v>
      </c>
      <c r="E73" s="53">
        <f>'VaR Model'!$G$21</f>
        <v>-1.5036332051297405E-2</v>
      </c>
      <c r="F73">
        <f t="shared" si="3"/>
        <v>0</v>
      </c>
    </row>
    <row r="74" spans="1:6" x14ac:dyDescent="0.35">
      <c r="A74" s="2">
        <f>'VaR Model'!C74</f>
        <v>44672</v>
      </c>
      <c r="B74" s="48">
        <f>'VaR Model'!D74</f>
        <v>1.4955516813870761E-2</v>
      </c>
      <c r="C74" s="47">
        <f>'VaR Model'!$G$16</f>
        <v>-2.1486122599356419E-2</v>
      </c>
      <c r="D74">
        <f t="shared" si="2"/>
        <v>0</v>
      </c>
      <c r="E74" s="53">
        <f>'VaR Model'!$G$21</f>
        <v>-1.5036332051297405E-2</v>
      </c>
      <c r="F74">
        <f t="shared" si="3"/>
        <v>0</v>
      </c>
    </row>
    <row r="75" spans="1:6" x14ac:dyDescent="0.35">
      <c r="A75" s="2">
        <f>'VaR Model'!C75</f>
        <v>44673</v>
      </c>
      <c r="B75" s="48">
        <f>'VaR Model'!D75</f>
        <v>-1.0092570845206044E-2</v>
      </c>
      <c r="C75" s="47">
        <f>'VaR Model'!$G$16</f>
        <v>-2.1486122599356419E-2</v>
      </c>
      <c r="D75">
        <f t="shared" si="2"/>
        <v>0</v>
      </c>
      <c r="E75" s="53">
        <f>'VaR Model'!$G$21</f>
        <v>-1.5036332051297405E-2</v>
      </c>
      <c r="F75">
        <f t="shared" si="3"/>
        <v>0</v>
      </c>
    </row>
    <row r="76" spans="1:6" x14ac:dyDescent="0.35">
      <c r="A76" s="2">
        <f>'VaR Model'!C76</f>
        <v>44676</v>
      </c>
      <c r="B76" s="48">
        <f>'VaR Model'!D76</f>
        <v>-1.4688160704234397E-2</v>
      </c>
      <c r="C76" s="47">
        <f>'VaR Model'!$G$16</f>
        <v>-2.1486122599356419E-2</v>
      </c>
      <c r="D76">
        <f t="shared" si="2"/>
        <v>0</v>
      </c>
      <c r="E76" s="53">
        <f>'VaR Model'!$G$21</f>
        <v>-1.5036332051297405E-2</v>
      </c>
      <c r="F76">
        <f t="shared" si="3"/>
        <v>0</v>
      </c>
    </row>
    <row r="77" spans="1:6" x14ac:dyDescent="0.35">
      <c r="A77" s="2">
        <f>'VaR Model'!C77</f>
        <v>44677</v>
      </c>
      <c r="B77" s="48">
        <f>'VaR Model'!D77</f>
        <v>1.1613696707311848E-2</v>
      </c>
      <c r="C77" s="47">
        <f>'VaR Model'!$G$16</f>
        <v>-2.1486122599356419E-2</v>
      </c>
      <c r="D77">
        <f t="shared" si="2"/>
        <v>0</v>
      </c>
      <c r="E77" s="53">
        <f>'VaR Model'!$G$21</f>
        <v>-1.5036332051297405E-2</v>
      </c>
      <c r="F77">
        <f t="shared" si="3"/>
        <v>0</v>
      </c>
    </row>
    <row r="78" spans="1:6" x14ac:dyDescent="0.35">
      <c r="A78" s="2">
        <f>'VaR Model'!C78</f>
        <v>44678</v>
      </c>
      <c r="B78" s="48">
        <f>'VaR Model'!D78</f>
        <v>-8.2649118369464807E-3</v>
      </c>
      <c r="C78" s="47">
        <f>'VaR Model'!$G$16</f>
        <v>-2.1486122599356419E-2</v>
      </c>
      <c r="D78">
        <f t="shared" si="2"/>
        <v>0</v>
      </c>
      <c r="E78" s="53">
        <f>'VaR Model'!$G$21</f>
        <v>-1.5036332051297405E-2</v>
      </c>
      <c r="F78">
        <f t="shared" si="3"/>
        <v>0</v>
      </c>
    </row>
    <row r="79" spans="1:6" x14ac:dyDescent="0.35">
      <c r="A79" s="2">
        <f>'VaR Model'!C79</f>
        <v>44679</v>
      </c>
      <c r="B79" s="48">
        <f>'VaR Model'!D79</f>
        <v>1.3652802284129118E-2</v>
      </c>
      <c r="C79" s="47">
        <f>'VaR Model'!$G$16</f>
        <v>-2.1486122599356419E-2</v>
      </c>
      <c r="D79">
        <f t="shared" si="2"/>
        <v>0</v>
      </c>
      <c r="E79" s="53">
        <f>'VaR Model'!$G$21</f>
        <v>-1.5036332051297405E-2</v>
      </c>
      <c r="F79">
        <f t="shared" si="3"/>
        <v>0</v>
      </c>
    </row>
    <row r="80" spans="1:6" x14ac:dyDescent="0.35">
      <c r="A80" s="2">
        <f>'VaR Model'!C80</f>
        <v>44680</v>
      </c>
      <c r="B80" s="48">
        <f>'VaR Model'!D80</f>
        <v>-8.3537324275223864E-3</v>
      </c>
      <c r="C80" s="47">
        <f>'VaR Model'!$G$16</f>
        <v>-2.1486122599356419E-2</v>
      </c>
      <c r="D80">
        <f t="shared" si="2"/>
        <v>0</v>
      </c>
      <c r="E80" s="53">
        <f>'VaR Model'!$G$21</f>
        <v>-1.5036332051297405E-2</v>
      </c>
      <c r="F80">
        <f t="shared" si="3"/>
        <v>0</v>
      </c>
    </row>
    <row r="81" spans="1:6" x14ac:dyDescent="0.35">
      <c r="A81" s="2">
        <f>'VaR Model'!C81</f>
        <v>44683</v>
      </c>
      <c r="B81" s="48">
        <f>'VaR Model'!D81</f>
        <v>-2.2278612884573568E-3</v>
      </c>
      <c r="C81" s="47">
        <f>'VaR Model'!$G$16</f>
        <v>-2.1486122599356419E-2</v>
      </c>
      <c r="D81">
        <f t="shared" si="2"/>
        <v>0</v>
      </c>
      <c r="E81" s="53">
        <f>'VaR Model'!$G$21</f>
        <v>-1.5036332051297405E-2</v>
      </c>
      <c r="F81">
        <f t="shared" si="3"/>
        <v>0</v>
      </c>
    </row>
    <row r="82" spans="1:6" x14ac:dyDescent="0.35">
      <c r="A82" s="2">
        <f>'VaR Model'!C82</f>
        <v>44685</v>
      </c>
      <c r="B82" s="48">
        <f>'VaR Model'!D82</f>
        <v>-1.7794044267419304E-2</v>
      </c>
      <c r="C82" s="47">
        <f>'VaR Model'!$G$16</f>
        <v>-2.1486122599356419E-2</v>
      </c>
      <c r="D82">
        <f t="shared" si="2"/>
        <v>0</v>
      </c>
      <c r="E82" s="53">
        <f>'VaR Model'!$G$21</f>
        <v>-1.5036332051297405E-2</v>
      </c>
      <c r="F82">
        <f t="shared" si="3"/>
        <v>1</v>
      </c>
    </row>
    <row r="83" spans="1:6" x14ac:dyDescent="0.35">
      <c r="A83" s="2">
        <f>'VaR Model'!C83</f>
        <v>44686</v>
      </c>
      <c r="B83" s="48">
        <f>'VaR Model'!D83</f>
        <v>7.3421816602942426E-3</v>
      </c>
      <c r="C83" s="47">
        <f>'VaR Model'!$G$16</f>
        <v>-2.1486122599356419E-2</v>
      </c>
      <c r="D83">
        <f t="shared" si="2"/>
        <v>0</v>
      </c>
      <c r="E83" s="53">
        <f>'VaR Model'!$G$21</f>
        <v>-1.5036332051297405E-2</v>
      </c>
      <c r="F83">
        <f t="shared" si="3"/>
        <v>0</v>
      </c>
    </row>
    <row r="84" spans="1:6" x14ac:dyDescent="0.35">
      <c r="A84" s="2">
        <f>'VaR Model'!C84</f>
        <v>44687</v>
      </c>
      <c r="B84" s="48">
        <f>'VaR Model'!D84</f>
        <v>-1.0759663492589647E-2</v>
      </c>
      <c r="C84" s="47">
        <f>'VaR Model'!$G$16</f>
        <v>-2.1486122599356419E-2</v>
      </c>
      <c r="D84">
        <f t="shared" si="2"/>
        <v>0</v>
      </c>
      <c r="E84" s="53">
        <f>'VaR Model'!$G$21</f>
        <v>-1.5036332051297405E-2</v>
      </c>
      <c r="F84">
        <f t="shared" si="3"/>
        <v>0</v>
      </c>
    </row>
    <row r="85" spans="1:6" x14ac:dyDescent="0.35">
      <c r="A85" s="2">
        <f>'VaR Model'!C85</f>
        <v>44690</v>
      </c>
      <c r="B85" s="48">
        <f>'VaR Model'!D85</f>
        <v>-1.0220475659095837E-2</v>
      </c>
      <c r="C85" s="47">
        <f>'VaR Model'!$G$16</f>
        <v>-2.1486122599356419E-2</v>
      </c>
      <c r="D85">
        <f t="shared" si="2"/>
        <v>0</v>
      </c>
      <c r="E85" s="53">
        <f>'VaR Model'!$G$21</f>
        <v>-1.5036332051297405E-2</v>
      </c>
      <c r="F85">
        <f t="shared" si="3"/>
        <v>0</v>
      </c>
    </row>
    <row r="86" spans="1:6" x14ac:dyDescent="0.35">
      <c r="A86" s="2">
        <f>'VaR Model'!C86</f>
        <v>44691</v>
      </c>
      <c r="B86" s="48">
        <f>'VaR Model'!D86</f>
        <v>-7.040508549541415E-3</v>
      </c>
      <c r="C86" s="47">
        <f>'VaR Model'!$G$16</f>
        <v>-2.1486122599356419E-2</v>
      </c>
      <c r="D86">
        <f t="shared" si="2"/>
        <v>0</v>
      </c>
      <c r="E86" s="53">
        <f>'VaR Model'!$G$21</f>
        <v>-1.5036332051297405E-2</v>
      </c>
      <c r="F86">
        <f t="shared" si="3"/>
        <v>0</v>
      </c>
    </row>
    <row r="87" spans="1:6" x14ac:dyDescent="0.35">
      <c r="A87" s="2">
        <f>'VaR Model'!C87</f>
        <v>44692</v>
      </c>
      <c r="B87" s="48">
        <f>'VaR Model'!D87</f>
        <v>-1.0623652906698937E-2</v>
      </c>
      <c r="C87" s="47">
        <f>'VaR Model'!$G$16</f>
        <v>-2.1486122599356419E-2</v>
      </c>
      <c r="D87">
        <f t="shared" si="2"/>
        <v>0</v>
      </c>
      <c r="E87" s="53">
        <f>'VaR Model'!$G$21</f>
        <v>-1.5036332051297405E-2</v>
      </c>
      <c r="F87">
        <f t="shared" si="3"/>
        <v>0</v>
      </c>
    </row>
    <row r="88" spans="1:6" x14ac:dyDescent="0.35">
      <c r="A88" s="2">
        <f>'VaR Model'!C88</f>
        <v>44693</v>
      </c>
      <c r="B88" s="48">
        <f>'VaR Model'!D88</f>
        <v>-1.4066889924457957E-2</v>
      </c>
      <c r="C88" s="47">
        <f>'VaR Model'!$G$16</f>
        <v>-2.1486122599356419E-2</v>
      </c>
      <c r="D88">
        <f t="shared" si="2"/>
        <v>0</v>
      </c>
      <c r="E88" s="53">
        <f>'VaR Model'!$G$21</f>
        <v>-1.5036332051297405E-2</v>
      </c>
      <c r="F88">
        <f t="shared" si="3"/>
        <v>0</v>
      </c>
    </row>
    <row r="89" spans="1:6" x14ac:dyDescent="0.35">
      <c r="A89" s="2">
        <f>'VaR Model'!C89</f>
        <v>44694</v>
      </c>
      <c r="B89" s="48">
        <f>'VaR Model'!D89</f>
        <v>2.3497109136569275E-3</v>
      </c>
      <c r="C89" s="47">
        <f>'VaR Model'!$G$16</f>
        <v>-2.1486122599356419E-2</v>
      </c>
      <c r="D89">
        <f t="shared" si="2"/>
        <v>0</v>
      </c>
      <c r="E89" s="53">
        <f>'VaR Model'!$G$21</f>
        <v>-1.5036332051297405E-2</v>
      </c>
      <c r="F89">
        <f t="shared" si="3"/>
        <v>0</v>
      </c>
    </row>
    <row r="90" spans="1:6" x14ac:dyDescent="0.35">
      <c r="A90" s="2">
        <f>'VaR Model'!C90</f>
        <v>44697</v>
      </c>
      <c r="B90" s="48">
        <f>'VaR Model'!D90</f>
        <v>-6.0889371939862394E-3</v>
      </c>
      <c r="C90" s="47">
        <f>'VaR Model'!$G$16</f>
        <v>-2.1486122599356419E-2</v>
      </c>
      <c r="D90">
        <f t="shared" si="2"/>
        <v>0</v>
      </c>
      <c r="E90" s="53">
        <f>'VaR Model'!$G$21</f>
        <v>-1.5036332051297405E-2</v>
      </c>
      <c r="F90">
        <f t="shared" si="3"/>
        <v>0</v>
      </c>
    </row>
    <row r="91" spans="1:6" x14ac:dyDescent="0.35">
      <c r="A91" s="2">
        <f>'VaR Model'!C91</f>
        <v>44698</v>
      </c>
      <c r="B91" s="48">
        <f>'VaR Model'!D91</f>
        <v>3.1318643484871574E-2</v>
      </c>
      <c r="C91" s="47">
        <f>'VaR Model'!$G$16</f>
        <v>-2.1486122599356419E-2</v>
      </c>
      <c r="D91">
        <f t="shared" si="2"/>
        <v>0</v>
      </c>
      <c r="E91" s="53">
        <f>'VaR Model'!$G$21</f>
        <v>-1.5036332051297405E-2</v>
      </c>
      <c r="F91">
        <f t="shared" si="3"/>
        <v>0</v>
      </c>
    </row>
    <row r="92" spans="1:6" x14ac:dyDescent="0.35">
      <c r="A92" s="2">
        <f>'VaR Model'!C92</f>
        <v>44699</v>
      </c>
      <c r="B92" s="48">
        <f>'VaR Model'!D92</f>
        <v>1.7306382297663432E-4</v>
      </c>
      <c r="C92" s="47">
        <f>'VaR Model'!$G$16</f>
        <v>-2.1486122599356419E-2</v>
      </c>
      <c r="D92">
        <f t="shared" si="2"/>
        <v>0</v>
      </c>
      <c r="E92" s="53">
        <f>'VaR Model'!$G$21</f>
        <v>-1.5036332051297405E-2</v>
      </c>
      <c r="F92">
        <f t="shared" si="3"/>
        <v>0</v>
      </c>
    </row>
    <row r="93" spans="1:6" x14ac:dyDescent="0.35">
      <c r="A93" s="2">
        <f>'VaR Model'!C93</f>
        <v>44700</v>
      </c>
      <c r="B93" s="48">
        <f>'VaR Model'!D93</f>
        <v>-2.6565959175635923E-2</v>
      </c>
      <c r="C93" s="47">
        <f>'VaR Model'!$G$16</f>
        <v>-2.1486122599356419E-2</v>
      </c>
      <c r="D93">
        <f t="shared" si="2"/>
        <v>1</v>
      </c>
      <c r="E93" s="53">
        <f>'VaR Model'!$G$21</f>
        <v>-1.5036332051297405E-2</v>
      </c>
      <c r="F93">
        <f t="shared" si="3"/>
        <v>1</v>
      </c>
    </row>
    <row r="94" spans="1:6" x14ac:dyDescent="0.35">
      <c r="A94" s="2">
        <f>'VaR Model'!C94</f>
        <v>44701</v>
      </c>
      <c r="B94" s="48">
        <f>'VaR Model'!D94</f>
        <v>2.5752441503801987E-2</v>
      </c>
      <c r="C94" s="47">
        <f>'VaR Model'!$G$16</f>
        <v>-2.1486122599356419E-2</v>
      </c>
      <c r="D94">
        <f t="shared" si="2"/>
        <v>0</v>
      </c>
      <c r="E94" s="53">
        <f>'VaR Model'!$G$21</f>
        <v>-1.5036332051297405E-2</v>
      </c>
      <c r="F94">
        <f t="shared" si="3"/>
        <v>0</v>
      </c>
    </row>
    <row r="95" spans="1:6" x14ac:dyDescent="0.35">
      <c r="A95" s="2">
        <f>'VaR Model'!C95</f>
        <v>44704</v>
      </c>
      <c r="B95" s="48">
        <f>'VaR Model'!D95</f>
        <v>-1.3384342112277821E-3</v>
      </c>
      <c r="C95" s="47">
        <f>'VaR Model'!$G$16</f>
        <v>-2.1486122599356419E-2</v>
      </c>
      <c r="D95">
        <f t="shared" si="2"/>
        <v>0</v>
      </c>
      <c r="E95" s="53">
        <f>'VaR Model'!$G$21</f>
        <v>-1.5036332051297405E-2</v>
      </c>
      <c r="F95">
        <f t="shared" si="3"/>
        <v>0</v>
      </c>
    </row>
    <row r="96" spans="1:6" x14ac:dyDescent="0.35">
      <c r="A96" s="2">
        <f>'VaR Model'!C96</f>
        <v>44705</v>
      </c>
      <c r="B96" s="48">
        <f>'VaR Model'!D96</f>
        <v>-8.6200760802657359E-3</v>
      </c>
      <c r="C96" s="47">
        <f>'VaR Model'!$G$16</f>
        <v>-2.1486122599356419E-2</v>
      </c>
      <c r="D96">
        <f t="shared" si="2"/>
        <v>0</v>
      </c>
      <c r="E96" s="53">
        <f>'VaR Model'!$G$21</f>
        <v>-1.5036332051297405E-2</v>
      </c>
      <c r="F96">
        <f t="shared" si="3"/>
        <v>0</v>
      </c>
    </row>
    <row r="97" spans="1:6" x14ac:dyDescent="0.35">
      <c r="A97" s="2">
        <f>'VaR Model'!C97</f>
        <v>44706</v>
      </c>
      <c r="B97" s="48">
        <f>'VaR Model'!D97</f>
        <v>-9.2130698110908515E-3</v>
      </c>
      <c r="C97" s="47">
        <f>'VaR Model'!$G$16</f>
        <v>-2.1486122599356419E-2</v>
      </c>
      <c r="D97">
        <f t="shared" si="2"/>
        <v>0</v>
      </c>
      <c r="E97" s="53">
        <f>'VaR Model'!$G$21</f>
        <v>-1.5036332051297405E-2</v>
      </c>
      <c r="F97">
        <f t="shared" si="3"/>
        <v>0</v>
      </c>
    </row>
    <row r="98" spans="1:6" x14ac:dyDescent="0.35">
      <c r="A98" s="2">
        <f>'VaR Model'!C98</f>
        <v>44707</v>
      </c>
      <c r="B98" s="48">
        <f>'VaR Model'!D98</f>
        <v>3.4547671767117781E-3</v>
      </c>
      <c r="C98" s="47">
        <f>'VaR Model'!$G$16</f>
        <v>-2.1486122599356419E-2</v>
      </c>
      <c r="D98">
        <f t="shared" si="2"/>
        <v>0</v>
      </c>
      <c r="E98" s="53">
        <f>'VaR Model'!$G$21</f>
        <v>-1.5036332051297405E-2</v>
      </c>
      <c r="F98">
        <f t="shared" si="3"/>
        <v>0</v>
      </c>
    </row>
    <row r="99" spans="1:6" x14ac:dyDescent="0.35">
      <c r="A99" s="2">
        <f>'VaR Model'!C99</f>
        <v>44708</v>
      </c>
      <c r="B99" s="48">
        <f>'VaR Model'!D99</f>
        <v>1.1313461179714976E-2</v>
      </c>
      <c r="C99" s="47">
        <f>'VaR Model'!$G$16</f>
        <v>-2.1486122599356419E-2</v>
      </c>
      <c r="D99">
        <f t="shared" si="2"/>
        <v>0</v>
      </c>
      <c r="E99" s="53">
        <f>'VaR Model'!$G$21</f>
        <v>-1.5036332051297405E-2</v>
      </c>
      <c r="F99">
        <f t="shared" si="3"/>
        <v>0</v>
      </c>
    </row>
    <row r="100" spans="1:6" x14ac:dyDescent="0.35">
      <c r="A100" s="2">
        <f>'VaR Model'!C100</f>
        <v>44711</v>
      </c>
      <c r="B100" s="48">
        <f>'VaR Model'!D100</f>
        <v>2.4705628385112508E-2</v>
      </c>
      <c r="C100" s="47">
        <f>'VaR Model'!$G$16</f>
        <v>-2.1486122599356419E-2</v>
      </c>
      <c r="D100">
        <f t="shared" si="2"/>
        <v>0</v>
      </c>
      <c r="E100" s="53">
        <f>'VaR Model'!$G$21</f>
        <v>-1.5036332051297405E-2</v>
      </c>
      <c r="F100">
        <f t="shared" si="3"/>
        <v>0</v>
      </c>
    </row>
    <row r="101" spans="1:6" x14ac:dyDescent="0.35">
      <c r="A101" s="2">
        <f>'VaR Model'!C101</f>
        <v>44712</v>
      </c>
      <c r="B101" s="48">
        <f>'VaR Model'!D101</f>
        <v>-3.7916004612666204E-3</v>
      </c>
      <c r="C101" s="47">
        <f>'VaR Model'!$G$16</f>
        <v>-2.1486122599356419E-2</v>
      </c>
      <c r="D101">
        <f t="shared" si="2"/>
        <v>0</v>
      </c>
      <c r="E101" s="53">
        <f>'VaR Model'!$G$21</f>
        <v>-1.5036332051297405E-2</v>
      </c>
      <c r="F101">
        <f t="shared" si="3"/>
        <v>0</v>
      </c>
    </row>
    <row r="102" spans="1:6" x14ac:dyDescent="0.35">
      <c r="A102" s="2">
        <f>'VaR Model'!C102</f>
        <v>44713</v>
      </c>
      <c r="B102" s="48">
        <f>'VaR Model'!D102</f>
        <v>-3.0115235720826741E-3</v>
      </c>
      <c r="C102" s="47">
        <f>'VaR Model'!$G$16</f>
        <v>-2.1486122599356419E-2</v>
      </c>
      <c r="D102">
        <f t="shared" si="2"/>
        <v>0</v>
      </c>
      <c r="E102" s="53">
        <f>'VaR Model'!$G$21</f>
        <v>-1.5036332051297405E-2</v>
      </c>
      <c r="F102">
        <f t="shared" si="3"/>
        <v>0</v>
      </c>
    </row>
    <row r="103" spans="1:6" x14ac:dyDescent="0.35">
      <c r="A103" s="2">
        <f>'VaR Model'!C103</f>
        <v>44714</v>
      </c>
      <c r="B103" s="48">
        <f>'VaR Model'!D103</f>
        <v>1.5172038914528754E-2</v>
      </c>
      <c r="C103" s="47">
        <f>'VaR Model'!$G$16</f>
        <v>-2.1486122599356419E-2</v>
      </c>
      <c r="D103">
        <f t="shared" si="2"/>
        <v>0</v>
      </c>
      <c r="E103" s="53">
        <f>'VaR Model'!$G$21</f>
        <v>-1.5036332051297405E-2</v>
      </c>
      <c r="F103">
        <f t="shared" si="3"/>
        <v>0</v>
      </c>
    </row>
    <row r="104" spans="1:6" x14ac:dyDescent="0.35">
      <c r="A104" s="2">
        <f>'VaR Model'!C104</f>
        <v>44715</v>
      </c>
      <c r="B104" s="48">
        <f>'VaR Model'!D104</f>
        <v>4.7716881506243503E-3</v>
      </c>
      <c r="C104" s="47">
        <f>'VaR Model'!$G$16</f>
        <v>-2.1486122599356419E-2</v>
      </c>
      <c r="D104">
        <f t="shared" si="2"/>
        <v>0</v>
      </c>
      <c r="E104" s="53">
        <f>'VaR Model'!$G$21</f>
        <v>-1.5036332051297405E-2</v>
      </c>
      <c r="F104">
        <f t="shared" si="3"/>
        <v>0</v>
      </c>
    </row>
    <row r="105" spans="1:6" x14ac:dyDescent="0.35">
      <c r="A105" s="2">
        <f>'VaR Model'!C105</f>
        <v>44718</v>
      </c>
      <c r="B105" s="48">
        <f>'VaR Model'!D105</f>
        <v>1.8907778071975264E-3</v>
      </c>
      <c r="C105" s="47">
        <f>'VaR Model'!$G$16</f>
        <v>-2.1486122599356419E-2</v>
      </c>
      <c r="D105">
        <f t="shared" si="2"/>
        <v>0</v>
      </c>
      <c r="E105" s="53">
        <f>'VaR Model'!$G$21</f>
        <v>-1.5036332051297405E-2</v>
      </c>
      <c r="F105">
        <f t="shared" si="3"/>
        <v>0</v>
      </c>
    </row>
    <row r="106" spans="1:6" x14ac:dyDescent="0.35">
      <c r="A106" s="2">
        <f>'VaR Model'!C106</f>
        <v>44719</v>
      </c>
      <c r="B106" s="48">
        <f>'VaR Model'!D106</f>
        <v>-1.0483167934117623E-2</v>
      </c>
      <c r="C106" s="47">
        <f>'VaR Model'!$G$16</f>
        <v>-2.1486122599356419E-2</v>
      </c>
      <c r="D106">
        <f t="shared" si="2"/>
        <v>0</v>
      </c>
      <c r="E106" s="53">
        <f>'VaR Model'!$G$21</f>
        <v>-1.5036332051297405E-2</v>
      </c>
      <c r="F106">
        <f t="shared" si="3"/>
        <v>0</v>
      </c>
    </row>
    <row r="107" spans="1:6" x14ac:dyDescent="0.35">
      <c r="A107" s="2">
        <f>'VaR Model'!C107</f>
        <v>44720</v>
      </c>
      <c r="B107" s="48">
        <f>'VaR Model'!D107</f>
        <v>-7.9827944713595379E-3</v>
      </c>
      <c r="C107" s="47">
        <f>'VaR Model'!$G$16</f>
        <v>-2.1486122599356419E-2</v>
      </c>
      <c r="D107">
        <f t="shared" si="2"/>
        <v>0</v>
      </c>
      <c r="E107" s="53">
        <f>'VaR Model'!$G$21</f>
        <v>-1.5036332051297405E-2</v>
      </c>
      <c r="F107">
        <f t="shared" si="3"/>
        <v>0</v>
      </c>
    </row>
    <row r="108" spans="1:6" x14ac:dyDescent="0.35">
      <c r="A108" s="2">
        <f>'VaR Model'!C108</f>
        <v>44721</v>
      </c>
      <c r="B108" s="48">
        <f>'VaR Model'!D108</f>
        <v>1.1823162677975937E-2</v>
      </c>
      <c r="C108" s="47">
        <f>'VaR Model'!$G$16</f>
        <v>-2.1486122599356419E-2</v>
      </c>
      <c r="D108">
        <f t="shared" si="2"/>
        <v>0</v>
      </c>
      <c r="E108" s="53">
        <f>'VaR Model'!$G$21</f>
        <v>-1.5036332051297405E-2</v>
      </c>
      <c r="F108">
        <f t="shared" si="3"/>
        <v>0</v>
      </c>
    </row>
    <row r="109" spans="1:6" x14ac:dyDescent="0.35">
      <c r="A109" s="2">
        <f>'VaR Model'!C109</f>
        <v>44722</v>
      </c>
      <c r="B109" s="48">
        <f>'VaR Model'!D109</f>
        <v>-1.9224648029725549E-2</v>
      </c>
      <c r="C109" s="47">
        <f>'VaR Model'!$G$16</f>
        <v>-2.1486122599356419E-2</v>
      </c>
      <c r="D109">
        <f t="shared" si="2"/>
        <v>0</v>
      </c>
      <c r="E109" s="53">
        <f>'VaR Model'!$G$21</f>
        <v>-1.5036332051297405E-2</v>
      </c>
      <c r="F109">
        <f t="shared" si="3"/>
        <v>1</v>
      </c>
    </row>
    <row r="110" spans="1:6" x14ac:dyDescent="0.35">
      <c r="A110" s="2">
        <f>'VaR Model'!C110</f>
        <v>44725</v>
      </c>
      <c r="B110" s="48">
        <f>'VaR Model'!D110</f>
        <v>-3.2770338621898779E-2</v>
      </c>
      <c r="C110" s="47">
        <f>'VaR Model'!$G$16</f>
        <v>-2.1486122599356419E-2</v>
      </c>
      <c r="D110">
        <f t="shared" si="2"/>
        <v>1</v>
      </c>
      <c r="E110" s="53">
        <f>'VaR Model'!$G$21</f>
        <v>-1.5036332051297405E-2</v>
      </c>
      <c r="F110">
        <f t="shared" si="3"/>
        <v>1</v>
      </c>
    </row>
    <row r="111" spans="1:6" x14ac:dyDescent="0.35">
      <c r="A111" s="2">
        <f>'VaR Model'!C111</f>
        <v>44726</v>
      </c>
      <c r="B111" s="48">
        <f>'VaR Model'!D111</f>
        <v>-1.0743224136921981E-3</v>
      </c>
      <c r="C111" s="47">
        <f>'VaR Model'!$G$16</f>
        <v>-2.1486122599356419E-2</v>
      </c>
      <c r="D111">
        <f t="shared" si="2"/>
        <v>0</v>
      </c>
      <c r="E111" s="53">
        <f>'VaR Model'!$G$21</f>
        <v>-1.5036332051297405E-2</v>
      </c>
      <c r="F111">
        <f t="shared" si="3"/>
        <v>0</v>
      </c>
    </row>
    <row r="112" spans="1:6" x14ac:dyDescent="0.35">
      <c r="A112" s="2">
        <f>'VaR Model'!C112</f>
        <v>44727</v>
      </c>
      <c r="B112" s="48">
        <f>'VaR Model'!D112</f>
        <v>-6.3057833378127323E-3</v>
      </c>
      <c r="C112" s="47">
        <f>'VaR Model'!$G$16</f>
        <v>-2.1486122599356419E-2</v>
      </c>
      <c r="D112">
        <f t="shared" si="2"/>
        <v>0</v>
      </c>
      <c r="E112" s="53">
        <f>'VaR Model'!$G$21</f>
        <v>-1.5036332051297405E-2</v>
      </c>
      <c r="F112">
        <f t="shared" si="3"/>
        <v>0</v>
      </c>
    </row>
    <row r="113" spans="1:6" x14ac:dyDescent="0.35">
      <c r="A113" s="2">
        <f>'VaR Model'!C113</f>
        <v>44728</v>
      </c>
      <c r="B113" s="48">
        <f>'VaR Model'!D113</f>
        <v>-1.504343976328293E-2</v>
      </c>
      <c r="C113" s="47">
        <f>'VaR Model'!$G$16</f>
        <v>-2.1486122599356419E-2</v>
      </c>
      <c r="D113">
        <f t="shared" si="2"/>
        <v>0</v>
      </c>
      <c r="E113" s="53">
        <f>'VaR Model'!$G$21</f>
        <v>-1.5036332051297405E-2</v>
      </c>
      <c r="F113">
        <f t="shared" si="3"/>
        <v>1</v>
      </c>
    </row>
    <row r="114" spans="1:6" x14ac:dyDescent="0.35">
      <c r="A114" s="2">
        <f>'VaR Model'!C114</f>
        <v>44729</v>
      </c>
      <c r="B114" s="48">
        <f>'VaR Model'!D114</f>
        <v>1.9356649078755429E-3</v>
      </c>
      <c r="C114" s="47">
        <f>'VaR Model'!$G$16</f>
        <v>-2.1486122599356419E-2</v>
      </c>
      <c r="D114">
        <f t="shared" si="2"/>
        <v>0</v>
      </c>
      <c r="E114" s="53">
        <f>'VaR Model'!$G$21</f>
        <v>-1.5036332051297405E-2</v>
      </c>
      <c r="F114">
        <f t="shared" si="3"/>
        <v>0</v>
      </c>
    </row>
    <row r="115" spans="1:6" x14ac:dyDescent="0.35">
      <c r="A115" s="2">
        <f>'VaR Model'!C115</f>
        <v>44732</v>
      </c>
      <c r="B115" s="48">
        <f>'VaR Model'!D115</f>
        <v>2.0305247590924921E-3</v>
      </c>
      <c r="C115" s="47">
        <f>'VaR Model'!$G$16</f>
        <v>-2.1486122599356419E-2</v>
      </c>
      <c r="D115">
        <f t="shared" si="2"/>
        <v>0</v>
      </c>
      <c r="E115" s="53">
        <f>'VaR Model'!$G$21</f>
        <v>-1.5036332051297405E-2</v>
      </c>
      <c r="F115">
        <f t="shared" si="3"/>
        <v>0</v>
      </c>
    </row>
    <row r="116" spans="1:6" x14ac:dyDescent="0.35">
      <c r="A116" s="2">
        <f>'VaR Model'!C116</f>
        <v>44733</v>
      </c>
      <c r="B116" s="48">
        <f>'VaR Model'!D116</f>
        <v>1.6844727396604076E-2</v>
      </c>
      <c r="C116" s="47">
        <f>'VaR Model'!$G$16</f>
        <v>-2.1486122599356419E-2</v>
      </c>
      <c r="D116">
        <f t="shared" si="2"/>
        <v>0</v>
      </c>
      <c r="E116" s="53">
        <f>'VaR Model'!$G$21</f>
        <v>-1.5036332051297405E-2</v>
      </c>
      <c r="F116">
        <f t="shared" si="3"/>
        <v>0</v>
      </c>
    </row>
    <row r="117" spans="1:6" x14ac:dyDescent="0.35">
      <c r="A117" s="2">
        <f>'VaR Model'!C117</f>
        <v>44734</v>
      </c>
      <c r="B117" s="48">
        <f>'VaR Model'!D117</f>
        <v>-1.3423184801480619E-2</v>
      </c>
      <c r="C117" s="47">
        <f>'VaR Model'!$G$16</f>
        <v>-2.1486122599356419E-2</v>
      </c>
      <c r="D117">
        <f t="shared" si="2"/>
        <v>0</v>
      </c>
      <c r="E117" s="53">
        <f>'VaR Model'!$G$21</f>
        <v>-1.5036332051297405E-2</v>
      </c>
      <c r="F117">
        <f t="shared" si="3"/>
        <v>0</v>
      </c>
    </row>
    <row r="118" spans="1:6" x14ac:dyDescent="0.35">
      <c r="A118" s="2">
        <f>'VaR Model'!C118</f>
        <v>44735</v>
      </c>
      <c r="B118" s="48">
        <f>'VaR Model'!D118</f>
        <v>7.855263133190217E-3</v>
      </c>
      <c r="C118" s="47">
        <f>'VaR Model'!$G$16</f>
        <v>-2.1486122599356419E-2</v>
      </c>
      <c r="D118">
        <f t="shared" si="2"/>
        <v>0</v>
      </c>
      <c r="E118" s="53">
        <f>'VaR Model'!$G$21</f>
        <v>-1.5036332051297405E-2</v>
      </c>
      <c r="F118">
        <f t="shared" si="3"/>
        <v>0</v>
      </c>
    </row>
    <row r="119" spans="1:6" x14ac:dyDescent="0.35">
      <c r="A119" s="2">
        <f>'VaR Model'!C119</f>
        <v>44736</v>
      </c>
      <c r="B119" s="48">
        <f>'VaR Model'!D119</f>
        <v>4.6226843498282178E-3</v>
      </c>
      <c r="C119" s="47">
        <f>'VaR Model'!$G$16</f>
        <v>-2.1486122599356419E-2</v>
      </c>
      <c r="D119">
        <f t="shared" si="2"/>
        <v>0</v>
      </c>
      <c r="E119" s="53">
        <f>'VaR Model'!$G$21</f>
        <v>-1.5036332051297405E-2</v>
      </c>
      <c r="F119">
        <f t="shared" si="3"/>
        <v>0</v>
      </c>
    </row>
    <row r="120" spans="1:6" x14ac:dyDescent="0.35">
      <c r="A120" s="2">
        <f>'VaR Model'!C120</f>
        <v>44739</v>
      </c>
      <c r="B120" s="48">
        <f>'VaR Model'!D120</f>
        <v>9.4670398465329965E-3</v>
      </c>
      <c r="C120" s="47">
        <f>'VaR Model'!$G$16</f>
        <v>-2.1486122599356419E-2</v>
      </c>
      <c r="D120">
        <f t="shared" si="2"/>
        <v>0</v>
      </c>
      <c r="E120" s="53">
        <f>'VaR Model'!$G$21</f>
        <v>-1.5036332051297405E-2</v>
      </c>
      <c r="F120">
        <f t="shared" si="3"/>
        <v>0</v>
      </c>
    </row>
    <row r="121" spans="1:6" x14ac:dyDescent="0.35">
      <c r="A121" s="2">
        <f>'VaR Model'!C121</f>
        <v>44740</v>
      </c>
      <c r="B121" s="48">
        <f>'VaR Model'!D121</f>
        <v>3.1716847739428865E-3</v>
      </c>
      <c r="C121" s="47">
        <f>'VaR Model'!$G$16</f>
        <v>-2.1486122599356419E-2</v>
      </c>
      <c r="D121">
        <f t="shared" si="2"/>
        <v>0</v>
      </c>
      <c r="E121" s="53">
        <f>'VaR Model'!$G$21</f>
        <v>-1.5036332051297405E-2</v>
      </c>
      <c r="F121">
        <f t="shared" si="3"/>
        <v>0</v>
      </c>
    </row>
    <row r="122" spans="1:6" x14ac:dyDescent="0.35">
      <c r="A122" s="2">
        <f>'VaR Model'!C122</f>
        <v>44741</v>
      </c>
      <c r="B122" s="48">
        <f>'VaR Model'!D122</f>
        <v>-3.840248821892153E-4</v>
      </c>
      <c r="C122" s="47">
        <f>'VaR Model'!$G$16</f>
        <v>-2.1486122599356419E-2</v>
      </c>
      <c r="D122">
        <f t="shared" si="2"/>
        <v>0</v>
      </c>
      <c r="E122" s="53">
        <f>'VaR Model'!$G$21</f>
        <v>-1.5036332051297405E-2</v>
      </c>
      <c r="F122">
        <f t="shared" si="3"/>
        <v>0</v>
      </c>
    </row>
    <row r="123" spans="1:6" x14ac:dyDescent="0.35">
      <c r="A123" s="2">
        <f>'VaR Model'!C123</f>
        <v>44742</v>
      </c>
      <c r="B123" s="48">
        <f>'VaR Model'!D123</f>
        <v>4.5077733142486869E-4</v>
      </c>
      <c r="C123" s="47">
        <f>'VaR Model'!$G$16</f>
        <v>-2.1486122599356419E-2</v>
      </c>
      <c r="D123">
        <f t="shared" si="2"/>
        <v>0</v>
      </c>
      <c r="E123" s="53">
        <f>'VaR Model'!$G$21</f>
        <v>-1.5036332051297405E-2</v>
      </c>
      <c r="F123">
        <f t="shared" si="3"/>
        <v>0</v>
      </c>
    </row>
    <row r="124" spans="1:6" x14ac:dyDescent="0.35">
      <c r="A124" s="2">
        <f>'VaR Model'!C124</f>
        <v>44743</v>
      </c>
      <c r="B124" s="48">
        <f>'VaR Model'!D124</f>
        <v>-2.8101758291153925E-3</v>
      </c>
      <c r="C124" s="47">
        <f>'VaR Model'!$G$16</f>
        <v>-2.1486122599356419E-2</v>
      </c>
      <c r="D124">
        <f t="shared" si="2"/>
        <v>0</v>
      </c>
      <c r="E124" s="53">
        <f>'VaR Model'!$G$21</f>
        <v>-1.5036332051297405E-2</v>
      </c>
      <c r="F124">
        <f t="shared" si="3"/>
        <v>0</v>
      </c>
    </row>
    <row r="125" spans="1:6" x14ac:dyDescent="0.35">
      <c r="A125" s="2">
        <f>'VaR Model'!C125</f>
        <v>44746</v>
      </c>
      <c r="B125" s="48">
        <f>'VaR Model'!D125</f>
        <v>6.4742880605659515E-3</v>
      </c>
      <c r="C125" s="47">
        <f>'VaR Model'!$G$16</f>
        <v>-2.1486122599356419E-2</v>
      </c>
      <c r="D125">
        <f t="shared" si="2"/>
        <v>0</v>
      </c>
      <c r="E125" s="53">
        <f>'VaR Model'!$G$21</f>
        <v>-1.5036332051297405E-2</v>
      </c>
      <c r="F125">
        <f t="shared" si="3"/>
        <v>0</v>
      </c>
    </row>
    <row r="126" spans="1:6" x14ac:dyDescent="0.35">
      <c r="A126" s="2">
        <f>'VaR Model'!C126</f>
        <v>44747</v>
      </c>
      <c r="B126" s="48">
        <f>'VaR Model'!D126</f>
        <v>-4.8122169449855562E-3</v>
      </c>
      <c r="C126" s="47">
        <f>'VaR Model'!$G$16</f>
        <v>-2.1486122599356419E-2</v>
      </c>
      <c r="D126">
        <f t="shared" si="2"/>
        <v>0</v>
      </c>
      <c r="E126" s="53">
        <f>'VaR Model'!$G$21</f>
        <v>-1.5036332051297405E-2</v>
      </c>
      <c r="F126">
        <f t="shared" si="3"/>
        <v>0</v>
      </c>
    </row>
    <row r="127" spans="1:6" x14ac:dyDescent="0.35">
      <c r="A127" s="2">
        <f>'VaR Model'!C127</f>
        <v>44748</v>
      </c>
      <c r="B127" s="48">
        <f>'VaR Model'!D127</f>
        <v>6.5628384267312047E-3</v>
      </c>
      <c r="C127" s="47">
        <f>'VaR Model'!$G$16</f>
        <v>-2.1486122599356419E-2</v>
      </c>
      <c r="D127">
        <f t="shared" si="2"/>
        <v>0</v>
      </c>
      <c r="E127" s="53">
        <f>'VaR Model'!$G$21</f>
        <v>-1.5036332051297405E-2</v>
      </c>
      <c r="F127">
        <f t="shared" si="3"/>
        <v>0</v>
      </c>
    </row>
    <row r="128" spans="1:6" x14ac:dyDescent="0.35">
      <c r="A128" s="2">
        <f>'VaR Model'!C128</f>
        <v>44749</v>
      </c>
      <c r="B128" s="48">
        <f>'VaR Model'!D128</f>
        <v>6.8139572853934509E-3</v>
      </c>
      <c r="C128" s="47">
        <f>'VaR Model'!$G$16</f>
        <v>-2.1486122599356419E-2</v>
      </c>
      <c r="D128">
        <f t="shared" si="2"/>
        <v>0</v>
      </c>
      <c r="E128" s="53">
        <f>'VaR Model'!$G$21</f>
        <v>-1.5036332051297405E-2</v>
      </c>
      <c r="F128">
        <f t="shared" si="3"/>
        <v>0</v>
      </c>
    </row>
    <row r="129" spans="1:6" x14ac:dyDescent="0.35">
      <c r="A129" s="2">
        <f>'VaR Model'!C129</f>
        <v>44750</v>
      </c>
      <c r="B129" s="48">
        <f>'VaR Model'!D129</f>
        <v>5.4159900005308521E-3</v>
      </c>
      <c r="C129" s="47">
        <f>'VaR Model'!$G$16</f>
        <v>-2.1486122599356419E-2</v>
      </c>
      <c r="D129">
        <f t="shared" si="2"/>
        <v>0</v>
      </c>
      <c r="E129" s="53">
        <f>'VaR Model'!$G$21</f>
        <v>-1.5036332051297405E-2</v>
      </c>
      <c r="F129">
        <f t="shared" si="3"/>
        <v>0</v>
      </c>
    </row>
    <row r="130" spans="1:6" x14ac:dyDescent="0.35">
      <c r="A130" s="2">
        <f>'VaR Model'!C130</f>
        <v>44753</v>
      </c>
      <c r="B130" s="48">
        <f>'VaR Model'!D130</f>
        <v>-7.4017688426814537E-3</v>
      </c>
      <c r="C130" s="47">
        <f>'VaR Model'!$G$16</f>
        <v>-2.1486122599356419E-2</v>
      </c>
      <c r="D130">
        <f t="shared" si="2"/>
        <v>0</v>
      </c>
      <c r="E130" s="53">
        <f>'VaR Model'!$G$21</f>
        <v>-1.5036332051297405E-2</v>
      </c>
      <c r="F130">
        <f t="shared" si="3"/>
        <v>0</v>
      </c>
    </row>
    <row r="131" spans="1:6" x14ac:dyDescent="0.35">
      <c r="A131" s="2">
        <f>'VaR Model'!C131</f>
        <v>44754</v>
      </c>
      <c r="B131" s="48">
        <f>'VaR Model'!D131</f>
        <v>-1.098126590843415E-2</v>
      </c>
      <c r="C131" s="47">
        <f>'VaR Model'!$G$16</f>
        <v>-2.1486122599356419E-2</v>
      </c>
      <c r="D131">
        <f t="shared" ref="D131:D194" si="4">IF(B131&lt;C131,1,0)</f>
        <v>0</v>
      </c>
      <c r="E131" s="53">
        <f>'VaR Model'!$G$21</f>
        <v>-1.5036332051297405E-2</v>
      </c>
      <c r="F131">
        <f t="shared" ref="F131:F194" si="5">IF(B131&lt;E131,1,0)</f>
        <v>0</v>
      </c>
    </row>
    <row r="132" spans="1:6" x14ac:dyDescent="0.35">
      <c r="A132" s="2">
        <f>'VaR Model'!C132</f>
        <v>44755</v>
      </c>
      <c r="B132" s="48">
        <f>'VaR Model'!D132</f>
        <v>-6.6190119987416971E-3</v>
      </c>
      <c r="C132" s="47">
        <f>'VaR Model'!$G$16</f>
        <v>-2.1486122599356419E-2</v>
      </c>
      <c r="D132">
        <f t="shared" si="4"/>
        <v>0</v>
      </c>
      <c r="E132" s="53">
        <f>'VaR Model'!$G$21</f>
        <v>-1.5036332051297405E-2</v>
      </c>
      <c r="F132">
        <f t="shared" si="5"/>
        <v>0</v>
      </c>
    </row>
    <row r="133" spans="1:6" x14ac:dyDescent="0.35">
      <c r="A133" s="2">
        <f>'VaR Model'!C133</f>
        <v>44756</v>
      </c>
      <c r="B133" s="48">
        <f>'VaR Model'!D133</f>
        <v>-5.5793263113214659E-3</v>
      </c>
      <c r="C133" s="47">
        <f>'VaR Model'!$G$16</f>
        <v>-2.1486122599356419E-2</v>
      </c>
      <c r="D133">
        <f t="shared" si="4"/>
        <v>0</v>
      </c>
      <c r="E133" s="53">
        <f>'VaR Model'!$G$21</f>
        <v>-1.5036332051297405E-2</v>
      </c>
      <c r="F133">
        <f t="shared" si="5"/>
        <v>0</v>
      </c>
    </row>
    <row r="134" spans="1:6" x14ac:dyDescent="0.35">
      <c r="A134" s="2">
        <f>'VaR Model'!C134</f>
        <v>44757</v>
      </c>
      <c r="B134" s="48">
        <f>'VaR Model'!D134</f>
        <v>1.8464606652114741E-3</v>
      </c>
      <c r="C134" s="47">
        <f>'VaR Model'!$G$16</f>
        <v>-2.1486122599356419E-2</v>
      </c>
      <c r="D134">
        <f t="shared" si="4"/>
        <v>0</v>
      </c>
      <c r="E134" s="53">
        <f>'VaR Model'!$G$21</f>
        <v>-1.5036332051297405E-2</v>
      </c>
      <c r="F134">
        <f t="shared" si="5"/>
        <v>0</v>
      </c>
    </row>
    <row r="135" spans="1:6" x14ac:dyDescent="0.35">
      <c r="A135" s="2">
        <f>'VaR Model'!C135</f>
        <v>44760</v>
      </c>
      <c r="B135" s="48">
        <f>'VaR Model'!D135</f>
        <v>2.1054868696676138E-2</v>
      </c>
      <c r="C135" s="47">
        <f>'VaR Model'!$G$16</f>
        <v>-2.1486122599356419E-2</v>
      </c>
      <c r="D135">
        <f t="shared" si="4"/>
        <v>0</v>
      </c>
      <c r="E135" s="53">
        <f>'VaR Model'!$G$21</f>
        <v>-1.5036332051297405E-2</v>
      </c>
      <c r="F135">
        <f t="shared" si="5"/>
        <v>0</v>
      </c>
    </row>
    <row r="136" spans="1:6" x14ac:dyDescent="0.35">
      <c r="A136" s="2">
        <f>'VaR Model'!C136</f>
        <v>44761</v>
      </c>
      <c r="B136" s="48">
        <f>'VaR Model'!D136</f>
        <v>2.9070095203177948E-3</v>
      </c>
      <c r="C136" s="47">
        <f>'VaR Model'!$G$16</f>
        <v>-2.1486122599356419E-2</v>
      </c>
      <c r="D136">
        <f t="shared" si="4"/>
        <v>0</v>
      </c>
      <c r="E136" s="53">
        <f>'VaR Model'!$G$21</f>
        <v>-1.5036332051297405E-2</v>
      </c>
      <c r="F136">
        <f t="shared" si="5"/>
        <v>0</v>
      </c>
    </row>
    <row r="137" spans="1:6" x14ac:dyDescent="0.35">
      <c r="A137" s="2">
        <f>'VaR Model'!C137</f>
        <v>44762</v>
      </c>
      <c r="B137" s="48">
        <f>'VaR Model'!D137</f>
        <v>1.8348233427048232E-2</v>
      </c>
      <c r="C137" s="47">
        <f>'VaR Model'!$G$16</f>
        <v>-2.1486122599356419E-2</v>
      </c>
      <c r="D137">
        <f t="shared" si="4"/>
        <v>0</v>
      </c>
      <c r="E137" s="53">
        <f>'VaR Model'!$G$21</f>
        <v>-1.5036332051297405E-2</v>
      </c>
      <c r="F137">
        <f t="shared" si="5"/>
        <v>0</v>
      </c>
    </row>
    <row r="138" spans="1:6" x14ac:dyDescent="0.35">
      <c r="A138" s="2">
        <f>'VaR Model'!C138</f>
        <v>44763</v>
      </c>
      <c r="B138" s="48">
        <f>'VaR Model'!D138</f>
        <v>3.4051494331018045E-3</v>
      </c>
      <c r="C138" s="47">
        <f>'VaR Model'!$G$16</f>
        <v>-2.1486122599356419E-2</v>
      </c>
      <c r="D138">
        <f t="shared" si="4"/>
        <v>0</v>
      </c>
      <c r="E138" s="53">
        <f>'VaR Model'!$G$21</f>
        <v>-1.5036332051297405E-2</v>
      </c>
      <c r="F138">
        <f t="shared" si="5"/>
        <v>0</v>
      </c>
    </row>
    <row r="139" spans="1:6" x14ac:dyDescent="0.35">
      <c r="A139" s="2">
        <f>'VaR Model'!C139</f>
        <v>44764</v>
      </c>
      <c r="B139" s="48">
        <f>'VaR Model'!D139</f>
        <v>1.6575791538937803E-3</v>
      </c>
      <c r="C139" s="47">
        <f>'VaR Model'!$G$16</f>
        <v>-2.1486122599356419E-2</v>
      </c>
      <c r="D139">
        <f t="shared" si="4"/>
        <v>0</v>
      </c>
      <c r="E139" s="53">
        <f>'VaR Model'!$G$21</f>
        <v>-1.5036332051297405E-2</v>
      </c>
      <c r="F139">
        <f t="shared" si="5"/>
        <v>0</v>
      </c>
    </row>
    <row r="140" spans="1:6" x14ac:dyDescent="0.35">
      <c r="A140" s="2">
        <f>'VaR Model'!C140</f>
        <v>44767</v>
      </c>
      <c r="B140" s="48">
        <f>'VaR Model'!D140</f>
        <v>-6.7671236631681357E-3</v>
      </c>
      <c r="C140" s="47">
        <f>'VaR Model'!$G$16</f>
        <v>-2.1486122599356419E-2</v>
      </c>
      <c r="D140">
        <f t="shared" si="4"/>
        <v>0</v>
      </c>
      <c r="E140" s="53">
        <f>'VaR Model'!$G$21</f>
        <v>-1.5036332051297405E-2</v>
      </c>
      <c r="F140">
        <f t="shared" si="5"/>
        <v>0</v>
      </c>
    </row>
    <row r="141" spans="1:6" x14ac:dyDescent="0.35">
      <c r="A141" s="2">
        <f>'VaR Model'!C141</f>
        <v>44768</v>
      </c>
      <c r="B141" s="48">
        <f>'VaR Model'!D141</f>
        <v>-1.0505357335647034E-2</v>
      </c>
      <c r="C141" s="47">
        <f>'VaR Model'!$G$16</f>
        <v>-2.1486122599356419E-2</v>
      </c>
      <c r="D141">
        <f t="shared" si="4"/>
        <v>0</v>
      </c>
      <c r="E141" s="53">
        <f>'VaR Model'!$G$21</f>
        <v>-1.5036332051297405E-2</v>
      </c>
      <c r="F141">
        <f t="shared" si="5"/>
        <v>0</v>
      </c>
    </row>
    <row r="142" spans="1:6" x14ac:dyDescent="0.35">
      <c r="A142" s="2">
        <f>'VaR Model'!C142</f>
        <v>44769</v>
      </c>
      <c r="B142" s="48">
        <f>'VaR Model'!D142</f>
        <v>9.3366208116383125E-3</v>
      </c>
      <c r="C142" s="47">
        <f>'VaR Model'!$G$16</f>
        <v>-2.1486122599356419E-2</v>
      </c>
      <c r="D142">
        <f t="shared" si="4"/>
        <v>0</v>
      </c>
      <c r="E142" s="53">
        <f>'VaR Model'!$G$21</f>
        <v>-1.5036332051297405E-2</v>
      </c>
      <c r="F142">
        <f t="shared" si="5"/>
        <v>0</v>
      </c>
    </row>
    <row r="143" spans="1:6" x14ac:dyDescent="0.35">
      <c r="A143" s="2">
        <f>'VaR Model'!C143</f>
        <v>44770</v>
      </c>
      <c r="B143" s="48">
        <f>'VaR Model'!D143</f>
        <v>1.6785510074679839E-2</v>
      </c>
      <c r="C143" s="47">
        <f>'VaR Model'!$G$16</f>
        <v>-2.1486122599356419E-2</v>
      </c>
      <c r="D143">
        <f t="shared" si="4"/>
        <v>0</v>
      </c>
      <c r="E143" s="53">
        <f>'VaR Model'!$G$21</f>
        <v>-1.5036332051297405E-2</v>
      </c>
      <c r="F143">
        <f t="shared" si="5"/>
        <v>0</v>
      </c>
    </row>
    <row r="144" spans="1:6" x14ac:dyDescent="0.35">
      <c r="A144" s="2">
        <f>'VaR Model'!C144</f>
        <v>44771</v>
      </c>
      <c r="B144" s="48">
        <f>'VaR Model'!D144</f>
        <v>1.1666204413095441E-2</v>
      </c>
      <c r="C144" s="47">
        <f>'VaR Model'!$G$16</f>
        <v>-2.1486122599356419E-2</v>
      </c>
      <c r="D144">
        <f t="shared" si="4"/>
        <v>0</v>
      </c>
      <c r="E144" s="53">
        <f>'VaR Model'!$G$21</f>
        <v>-1.5036332051297405E-2</v>
      </c>
      <c r="F144">
        <f t="shared" si="5"/>
        <v>0</v>
      </c>
    </row>
    <row r="145" spans="1:6" x14ac:dyDescent="0.35">
      <c r="A145" s="2">
        <f>'VaR Model'!C145</f>
        <v>44774</v>
      </c>
      <c r="B145" s="48">
        <f>'VaR Model'!D145</f>
        <v>9.2212461574757033E-3</v>
      </c>
      <c r="C145" s="47">
        <f>'VaR Model'!$G$16</f>
        <v>-2.1486122599356419E-2</v>
      </c>
      <c r="D145">
        <f t="shared" si="4"/>
        <v>0</v>
      </c>
      <c r="E145" s="53">
        <f>'VaR Model'!$G$21</f>
        <v>-1.5036332051297405E-2</v>
      </c>
      <c r="F145">
        <f t="shared" si="5"/>
        <v>0</v>
      </c>
    </row>
    <row r="146" spans="1:6" x14ac:dyDescent="0.35">
      <c r="A146" s="2">
        <f>'VaR Model'!C146</f>
        <v>44775</v>
      </c>
      <c r="B146" s="48">
        <f>'VaR Model'!D146</f>
        <v>-4.2121584398823061E-4</v>
      </c>
      <c r="C146" s="47">
        <f>'VaR Model'!$G$16</f>
        <v>-2.1486122599356419E-2</v>
      </c>
      <c r="D146">
        <f t="shared" si="4"/>
        <v>0</v>
      </c>
      <c r="E146" s="53">
        <f>'VaR Model'!$G$21</f>
        <v>-1.5036332051297405E-2</v>
      </c>
      <c r="F146">
        <f t="shared" si="5"/>
        <v>0</v>
      </c>
    </row>
    <row r="147" spans="1:6" x14ac:dyDescent="0.35">
      <c r="A147" s="2">
        <f>'VaR Model'!C147</f>
        <v>44776</v>
      </c>
      <c r="B147" s="48">
        <f>'VaR Model'!D147</f>
        <v>7.9946001481341084E-3</v>
      </c>
      <c r="C147" s="47">
        <f>'VaR Model'!$G$16</f>
        <v>-2.1486122599356419E-2</v>
      </c>
      <c r="D147">
        <f t="shared" si="4"/>
        <v>0</v>
      </c>
      <c r="E147" s="53">
        <f>'VaR Model'!$G$21</f>
        <v>-1.5036332051297405E-2</v>
      </c>
      <c r="F147">
        <f t="shared" si="5"/>
        <v>0</v>
      </c>
    </row>
    <row r="148" spans="1:6" x14ac:dyDescent="0.35">
      <c r="A148" s="2">
        <f>'VaR Model'!C148</f>
        <v>44777</v>
      </c>
      <c r="B148" s="48">
        <f>'VaR Model'!D148</f>
        <v>2.3058099648897205E-3</v>
      </c>
      <c r="C148" s="47">
        <f>'VaR Model'!$G$16</f>
        <v>-2.1486122599356419E-2</v>
      </c>
      <c r="D148">
        <f t="shared" si="4"/>
        <v>0</v>
      </c>
      <c r="E148" s="53">
        <f>'VaR Model'!$G$21</f>
        <v>-1.5036332051297405E-2</v>
      </c>
      <c r="F148">
        <f t="shared" si="5"/>
        <v>0</v>
      </c>
    </row>
    <row r="149" spans="1:6" x14ac:dyDescent="0.35">
      <c r="A149" s="2">
        <f>'VaR Model'!C149</f>
        <v>44778</v>
      </c>
      <c r="B149" s="48">
        <f>'VaR Model'!D149</f>
        <v>4.9148045205640719E-3</v>
      </c>
      <c r="C149" s="47">
        <f>'VaR Model'!$G$16</f>
        <v>-2.1486122599356419E-2</v>
      </c>
      <c r="D149">
        <f t="shared" si="4"/>
        <v>0</v>
      </c>
      <c r="E149" s="53">
        <f>'VaR Model'!$G$21</f>
        <v>-1.5036332051297405E-2</v>
      </c>
      <c r="F149">
        <f t="shared" si="5"/>
        <v>0</v>
      </c>
    </row>
    <row r="150" spans="1:6" x14ac:dyDescent="0.35">
      <c r="A150" s="2">
        <f>'VaR Model'!C150</f>
        <v>44781</v>
      </c>
      <c r="B150" s="48">
        <f>'VaR Model'!D150</f>
        <v>4.6690974479936722E-3</v>
      </c>
      <c r="C150" s="47">
        <f>'VaR Model'!$G$16</f>
        <v>-2.1486122599356419E-2</v>
      </c>
      <c r="D150">
        <f t="shared" si="4"/>
        <v>0</v>
      </c>
      <c r="E150" s="53">
        <f>'VaR Model'!$G$21</f>
        <v>-1.5036332051297405E-2</v>
      </c>
      <c r="F150">
        <f t="shared" si="5"/>
        <v>0</v>
      </c>
    </row>
    <row r="151" spans="1:6" x14ac:dyDescent="0.35">
      <c r="A151" s="2">
        <f>'VaR Model'!C151</f>
        <v>44783</v>
      </c>
      <c r="B151" s="48">
        <f>'VaR Model'!D151</f>
        <v>-5.5780554796187052E-4</v>
      </c>
      <c r="C151" s="47">
        <f>'VaR Model'!$G$16</f>
        <v>-2.1486122599356419E-2</v>
      </c>
      <c r="D151">
        <f t="shared" si="4"/>
        <v>0</v>
      </c>
      <c r="E151" s="53">
        <f>'VaR Model'!$G$21</f>
        <v>-1.5036332051297405E-2</v>
      </c>
      <c r="F151">
        <f t="shared" si="5"/>
        <v>0</v>
      </c>
    </row>
    <row r="152" spans="1:6" x14ac:dyDescent="0.35">
      <c r="A152" s="2">
        <f>'VaR Model'!C152</f>
        <v>44784</v>
      </c>
      <c r="B152" s="48">
        <f>'VaR Model'!D152</f>
        <v>6.2236893559046453E-3</v>
      </c>
      <c r="C152" s="47">
        <f>'VaR Model'!$G$16</f>
        <v>-2.1486122599356419E-2</v>
      </c>
      <c r="D152">
        <f t="shared" si="4"/>
        <v>0</v>
      </c>
      <c r="E152" s="53">
        <f>'VaR Model'!$G$21</f>
        <v>-1.5036332051297405E-2</v>
      </c>
      <c r="F152">
        <f t="shared" si="5"/>
        <v>0</v>
      </c>
    </row>
    <row r="153" spans="1:6" x14ac:dyDescent="0.35">
      <c r="A153" s="2">
        <f>'VaR Model'!C153</f>
        <v>44785</v>
      </c>
      <c r="B153" s="48">
        <f>'VaR Model'!D153</f>
        <v>3.6471590354350586E-3</v>
      </c>
      <c r="C153" s="47">
        <f>'VaR Model'!$G$16</f>
        <v>-2.1486122599356419E-2</v>
      </c>
      <c r="D153">
        <f t="shared" si="4"/>
        <v>0</v>
      </c>
      <c r="E153" s="53">
        <f>'VaR Model'!$G$21</f>
        <v>-1.5036332051297405E-2</v>
      </c>
      <c r="F153">
        <f t="shared" si="5"/>
        <v>0</v>
      </c>
    </row>
    <row r="154" spans="1:6" x14ac:dyDescent="0.35">
      <c r="A154" s="2">
        <f>'VaR Model'!C154</f>
        <v>44789</v>
      </c>
      <c r="B154" s="48">
        <f>'VaR Model'!D154</f>
        <v>3.5564015588010539E-3</v>
      </c>
      <c r="C154" s="47">
        <f>'VaR Model'!$G$16</f>
        <v>-2.1486122599356419E-2</v>
      </c>
      <c r="D154">
        <f t="shared" si="4"/>
        <v>0</v>
      </c>
      <c r="E154" s="53">
        <f>'VaR Model'!$G$21</f>
        <v>-1.5036332051297405E-2</v>
      </c>
      <c r="F154">
        <f t="shared" si="5"/>
        <v>0</v>
      </c>
    </row>
    <row r="155" spans="1:6" x14ac:dyDescent="0.35">
      <c r="A155" s="2">
        <f>'VaR Model'!C155</f>
        <v>44790</v>
      </c>
      <c r="B155" s="48">
        <f>'VaR Model'!D155</f>
        <v>4.9551581217769083E-3</v>
      </c>
      <c r="C155" s="47">
        <f>'VaR Model'!$G$16</f>
        <v>-2.1486122599356419E-2</v>
      </c>
      <c r="D155">
        <f t="shared" si="4"/>
        <v>0</v>
      </c>
      <c r="E155" s="53">
        <f>'VaR Model'!$G$21</f>
        <v>-1.5036332051297405E-2</v>
      </c>
      <c r="F155">
        <f t="shared" si="5"/>
        <v>0</v>
      </c>
    </row>
    <row r="156" spans="1:6" x14ac:dyDescent="0.35">
      <c r="A156" s="2">
        <f>'VaR Model'!C156</f>
        <v>44791</v>
      </c>
      <c r="B156" s="48">
        <f>'VaR Model'!D156</f>
        <v>-1.9912165148864127E-3</v>
      </c>
      <c r="C156" s="47">
        <f>'VaR Model'!$G$16</f>
        <v>-2.1486122599356419E-2</v>
      </c>
      <c r="D156">
        <f t="shared" si="4"/>
        <v>0</v>
      </c>
      <c r="E156" s="53">
        <f>'VaR Model'!$G$21</f>
        <v>-1.5036332051297405E-2</v>
      </c>
      <c r="F156">
        <f t="shared" si="5"/>
        <v>0</v>
      </c>
    </row>
    <row r="157" spans="1:6" x14ac:dyDescent="0.35">
      <c r="A157" s="2">
        <f>'VaR Model'!C157</f>
        <v>44792</v>
      </c>
      <c r="B157" s="48">
        <f>'VaR Model'!D157</f>
        <v>-7.2297459229677761E-3</v>
      </c>
      <c r="C157" s="47">
        <f>'VaR Model'!$G$16</f>
        <v>-2.1486122599356419E-2</v>
      </c>
      <c r="D157">
        <f t="shared" si="4"/>
        <v>0</v>
      </c>
      <c r="E157" s="53">
        <f>'VaR Model'!$G$21</f>
        <v>-1.5036332051297405E-2</v>
      </c>
      <c r="F157">
        <f t="shared" si="5"/>
        <v>0</v>
      </c>
    </row>
    <row r="158" spans="1:6" x14ac:dyDescent="0.35">
      <c r="A158" s="2">
        <f>'VaR Model'!C158</f>
        <v>44795</v>
      </c>
      <c r="B158" s="48">
        <f>'VaR Model'!D158</f>
        <v>-7.790298321685046E-3</v>
      </c>
      <c r="C158" s="47">
        <f>'VaR Model'!$G$16</f>
        <v>-2.1486122599356419E-2</v>
      </c>
      <c r="D158">
        <f t="shared" si="4"/>
        <v>0</v>
      </c>
      <c r="E158" s="53">
        <f>'VaR Model'!$G$21</f>
        <v>-1.5036332051297405E-2</v>
      </c>
      <c r="F158">
        <f t="shared" si="5"/>
        <v>0</v>
      </c>
    </row>
    <row r="159" spans="1:6" x14ac:dyDescent="0.35">
      <c r="A159" s="2">
        <f>'VaR Model'!C159</f>
        <v>44796</v>
      </c>
      <c r="B159" s="48">
        <f>'VaR Model'!D159</f>
        <v>-1.7513179741919546E-3</v>
      </c>
      <c r="C159" s="47">
        <f>'VaR Model'!$G$16</f>
        <v>-2.1486122599356419E-2</v>
      </c>
      <c r="D159">
        <f t="shared" si="4"/>
        <v>0</v>
      </c>
      <c r="E159" s="53">
        <f>'VaR Model'!$G$21</f>
        <v>-1.5036332051297405E-2</v>
      </c>
      <c r="F159">
        <f t="shared" si="5"/>
        <v>0</v>
      </c>
    </row>
    <row r="160" spans="1:6" x14ac:dyDescent="0.35">
      <c r="A160" s="2">
        <f>'VaR Model'!C160</f>
        <v>44797</v>
      </c>
      <c r="B160" s="48">
        <f>'VaR Model'!D160</f>
        <v>-1.9390326977647232E-3</v>
      </c>
      <c r="C160" s="47">
        <f>'VaR Model'!$G$16</f>
        <v>-2.1486122599356419E-2</v>
      </c>
      <c r="D160">
        <f t="shared" si="4"/>
        <v>0</v>
      </c>
      <c r="E160" s="53">
        <f>'VaR Model'!$G$21</f>
        <v>-1.5036332051297405E-2</v>
      </c>
      <c r="F160">
        <f t="shared" si="5"/>
        <v>0</v>
      </c>
    </row>
    <row r="161" spans="1:6" x14ac:dyDescent="0.35">
      <c r="A161" s="2">
        <f>'VaR Model'!C161</f>
        <v>44798</v>
      </c>
      <c r="B161" s="48">
        <f>'VaR Model'!D161</f>
        <v>-6.7469867247984417E-3</v>
      </c>
      <c r="C161" s="47">
        <f>'VaR Model'!$G$16</f>
        <v>-2.1486122599356419E-2</v>
      </c>
      <c r="D161">
        <f t="shared" si="4"/>
        <v>0</v>
      </c>
      <c r="E161" s="53">
        <f>'VaR Model'!$G$21</f>
        <v>-1.5036332051297405E-2</v>
      </c>
      <c r="F161">
        <f t="shared" si="5"/>
        <v>0</v>
      </c>
    </row>
    <row r="162" spans="1:6" x14ac:dyDescent="0.35">
      <c r="A162" s="2">
        <f>'VaR Model'!C162</f>
        <v>44799</v>
      </c>
      <c r="B162" s="48">
        <f>'VaR Model'!D162</f>
        <v>-3.7189244357815692E-4</v>
      </c>
      <c r="C162" s="47">
        <f>'VaR Model'!$G$16</f>
        <v>-2.1486122599356419E-2</v>
      </c>
      <c r="D162">
        <f t="shared" si="4"/>
        <v>0</v>
      </c>
      <c r="E162" s="53">
        <f>'VaR Model'!$G$21</f>
        <v>-1.5036332051297405E-2</v>
      </c>
      <c r="F162">
        <f t="shared" si="5"/>
        <v>0</v>
      </c>
    </row>
    <row r="163" spans="1:6" x14ac:dyDescent="0.35">
      <c r="A163" s="2">
        <f>'VaR Model'!C163</f>
        <v>44802</v>
      </c>
      <c r="B163" s="48">
        <f>'VaR Model'!D163</f>
        <v>-1.8279917897277634E-2</v>
      </c>
      <c r="C163" s="47">
        <f>'VaR Model'!$G$16</f>
        <v>-2.1486122599356419E-2</v>
      </c>
      <c r="D163">
        <f t="shared" si="4"/>
        <v>0</v>
      </c>
      <c r="E163" s="53">
        <f>'VaR Model'!$G$21</f>
        <v>-1.5036332051297405E-2</v>
      </c>
      <c r="F163">
        <f t="shared" si="5"/>
        <v>1</v>
      </c>
    </row>
    <row r="164" spans="1:6" x14ac:dyDescent="0.35">
      <c r="A164" s="2">
        <f>'VaR Model'!C164</f>
        <v>44803</v>
      </c>
      <c r="B164" s="48">
        <f>'VaR Model'!D164</f>
        <v>2.386163397090663E-2</v>
      </c>
      <c r="C164" s="47">
        <f>'VaR Model'!$G$16</f>
        <v>-2.1486122599356419E-2</v>
      </c>
      <c r="D164">
        <f t="shared" si="4"/>
        <v>0</v>
      </c>
      <c r="E164" s="53">
        <f>'VaR Model'!$G$21</f>
        <v>-1.5036332051297405E-2</v>
      </c>
      <c r="F164">
        <f t="shared" si="5"/>
        <v>0</v>
      </c>
    </row>
    <row r="165" spans="1:6" x14ac:dyDescent="0.35">
      <c r="A165" s="2">
        <f>'VaR Model'!C165</f>
        <v>44805</v>
      </c>
      <c r="B165" s="48">
        <f>'VaR Model'!D165</f>
        <v>-1.9630208444741018E-2</v>
      </c>
      <c r="C165" s="47">
        <f>'VaR Model'!$G$16</f>
        <v>-2.1486122599356419E-2</v>
      </c>
      <c r="D165">
        <f t="shared" si="4"/>
        <v>0</v>
      </c>
      <c r="E165" s="53">
        <f>'VaR Model'!$G$21</f>
        <v>-1.5036332051297405E-2</v>
      </c>
      <c r="F165">
        <f t="shared" si="5"/>
        <v>1</v>
      </c>
    </row>
    <row r="166" spans="1:6" x14ac:dyDescent="0.35">
      <c r="A166" s="2">
        <f>'VaR Model'!C166</f>
        <v>44806</v>
      </c>
      <c r="B166" s="48">
        <f>'VaR Model'!D166</f>
        <v>-9.4599409331512247E-4</v>
      </c>
      <c r="C166" s="47">
        <f>'VaR Model'!$G$16</f>
        <v>-2.1486122599356419E-2</v>
      </c>
      <c r="D166">
        <f t="shared" si="4"/>
        <v>0</v>
      </c>
      <c r="E166" s="53">
        <f>'VaR Model'!$G$21</f>
        <v>-1.5036332051297405E-2</v>
      </c>
      <c r="F166">
        <f t="shared" si="5"/>
        <v>0</v>
      </c>
    </row>
    <row r="167" spans="1:6" x14ac:dyDescent="0.35">
      <c r="A167" s="2">
        <f>'VaR Model'!C167</f>
        <v>44809</v>
      </c>
      <c r="B167" s="48">
        <f>'VaR Model'!D167</f>
        <v>1.0203039420723231E-2</v>
      </c>
      <c r="C167" s="47">
        <f>'VaR Model'!$G$16</f>
        <v>-2.1486122599356419E-2</v>
      </c>
      <c r="D167">
        <f t="shared" si="4"/>
        <v>0</v>
      </c>
      <c r="E167" s="53">
        <f>'VaR Model'!$G$21</f>
        <v>-1.5036332051297405E-2</v>
      </c>
      <c r="F167">
        <f t="shared" si="5"/>
        <v>0</v>
      </c>
    </row>
    <row r="168" spans="1:6" x14ac:dyDescent="0.35">
      <c r="A168" s="2">
        <f>'VaR Model'!C168</f>
        <v>44810</v>
      </c>
      <c r="B168" s="48">
        <f>'VaR Model'!D168</f>
        <v>7.4359028303652578E-5</v>
      </c>
      <c r="C168" s="47">
        <f>'VaR Model'!$G$16</f>
        <v>-2.1486122599356419E-2</v>
      </c>
      <c r="D168">
        <f t="shared" si="4"/>
        <v>0</v>
      </c>
      <c r="E168" s="53">
        <f>'VaR Model'!$G$21</f>
        <v>-1.5036332051297405E-2</v>
      </c>
      <c r="F168">
        <f t="shared" si="5"/>
        <v>0</v>
      </c>
    </row>
    <row r="169" spans="1:6" x14ac:dyDescent="0.35">
      <c r="A169" s="2">
        <f>'VaR Model'!C169</f>
        <v>44811</v>
      </c>
      <c r="B169" s="48">
        <f>'VaR Model'!D169</f>
        <v>-1.7210913395541028E-3</v>
      </c>
      <c r="C169" s="47">
        <f>'VaR Model'!$G$16</f>
        <v>-2.1486122599356419E-2</v>
      </c>
      <c r="D169">
        <f t="shared" si="4"/>
        <v>0</v>
      </c>
      <c r="E169" s="53">
        <f>'VaR Model'!$G$21</f>
        <v>-1.5036332051297405E-2</v>
      </c>
      <c r="F169">
        <f t="shared" si="5"/>
        <v>0</v>
      </c>
    </row>
    <row r="170" spans="1:6" x14ac:dyDescent="0.35">
      <c r="A170" s="2">
        <f>'VaR Model'!C170</f>
        <v>44812</v>
      </c>
      <c r="B170" s="48">
        <f>'VaR Model'!D170</f>
        <v>1.1453296844819102E-2</v>
      </c>
      <c r="C170" s="47">
        <f>'VaR Model'!$G$16</f>
        <v>-2.1486122599356419E-2</v>
      </c>
      <c r="D170">
        <f t="shared" si="4"/>
        <v>0</v>
      </c>
      <c r="E170" s="53">
        <f>'VaR Model'!$G$21</f>
        <v>-1.5036332051297405E-2</v>
      </c>
      <c r="F170">
        <f t="shared" si="5"/>
        <v>0</v>
      </c>
    </row>
    <row r="171" spans="1:6" x14ac:dyDescent="0.35">
      <c r="A171" s="2">
        <f>'VaR Model'!C171</f>
        <v>44813</v>
      </c>
      <c r="B171" s="48">
        <f>'VaR Model'!D171</f>
        <v>7.4532598042476176E-3</v>
      </c>
      <c r="C171" s="47">
        <f>'VaR Model'!$G$16</f>
        <v>-2.1486122599356419E-2</v>
      </c>
      <c r="D171">
        <f t="shared" si="4"/>
        <v>0</v>
      </c>
      <c r="E171" s="53">
        <f>'VaR Model'!$G$21</f>
        <v>-1.5036332051297405E-2</v>
      </c>
      <c r="F171">
        <f t="shared" si="5"/>
        <v>0</v>
      </c>
    </row>
    <row r="172" spans="1:6" x14ac:dyDescent="0.35">
      <c r="A172" s="2">
        <f>'VaR Model'!C172</f>
        <v>44816</v>
      </c>
      <c r="B172" s="48">
        <f>'VaR Model'!D172</f>
        <v>8.5673640841560268E-3</v>
      </c>
      <c r="C172" s="47">
        <f>'VaR Model'!$G$16</f>
        <v>-2.1486122599356419E-2</v>
      </c>
      <c r="D172">
        <f t="shared" si="4"/>
        <v>0</v>
      </c>
      <c r="E172" s="53">
        <f>'VaR Model'!$G$21</f>
        <v>-1.5036332051297405E-2</v>
      </c>
      <c r="F172">
        <f t="shared" si="5"/>
        <v>0</v>
      </c>
    </row>
    <row r="173" spans="1:6" x14ac:dyDescent="0.35">
      <c r="A173" s="2">
        <f>'VaR Model'!C173</f>
        <v>44817</v>
      </c>
      <c r="B173" s="48">
        <f>'VaR Model'!D173</f>
        <v>4.6802731303809391E-3</v>
      </c>
      <c r="C173" s="47">
        <f>'VaR Model'!$G$16</f>
        <v>-2.1486122599356419E-2</v>
      </c>
      <c r="D173">
        <f t="shared" si="4"/>
        <v>0</v>
      </c>
      <c r="E173" s="53">
        <f>'VaR Model'!$G$21</f>
        <v>-1.5036332051297405E-2</v>
      </c>
      <c r="F173">
        <f t="shared" si="5"/>
        <v>0</v>
      </c>
    </row>
    <row r="174" spans="1:6" x14ac:dyDescent="0.35">
      <c r="A174" s="2">
        <f>'VaR Model'!C174</f>
        <v>44818</v>
      </c>
      <c r="B174" s="48">
        <f>'VaR Model'!D174</f>
        <v>-1.6144627117291286E-2</v>
      </c>
      <c r="C174" s="47">
        <f>'VaR Model'!$G$16</f>
        <v>-2.1486122599356419E-2</v>
      </c>
      <c r="D174">
        <f t="shared" si="4"/>
        <v>0</v>
      </c>
      <c r="E174" s="53">
        <f>'VaR Model'!$G$21</f>
        <v>-1.5036332051297405E-2</v>
      </c>
      <c r="F174">
        <f t="shared" si="5"/>
        <v>1</v>
      </c>
    </row>
    <row r="175" spans="1:6" x14ac:dyDescent="0.35">
      <c r="A175" s="2">
        <f>'VaR Model'!C175</f>
        <v>44819</v>
      </c>
      <c r="B175" s="48">
        <f>'VaR Model'!D175</f>
        <v>-9.7427025165440443E-3</v>
      </c>
      <c r="C175" s="47">
        <f>'VaR Model'!$G$16</f>
        <v>-2.1486122599356419E-2</v>
      </c>
      <c r="D175">
        <f t="shared" si="4"/>
        <v>0</v>
      </c>
      <c r="E175" s="53">
        <f>'VaR Model'!$G$21</f>
        <v>-1.5036332051297405E-2</v>
      </c>
      <c r="F175">
        <f t="shared" si="5"/>
        <v>0</v>
      </c>
    </row>
    <row r="176" spans="1:6" x14ac:dyDescent="0.35">
      <c r="A176" s="2">
        <f>'VaR Model'!C176</f>
        <v>44820</v>
      </c>
      <c r="B176" s="48">
        <f>'VaR Model'!D176</f>
        <v>-2.2758996063465313E-2</v>
      </c>
      <c r="C176" s="47">
        <f>'VaR Model'!$G$16</f>
        <v>-2.1486122599356419E-2</v>
      </c>
      <c r="D176">
        <f t="shared" si="4"/>
        <v>1</v>
      </c>
      <c r="E176" s="53">
        <f>'VaR Model'!$G$21</f>
        <v>-1.5036332051297405E-2</v>
      </c>
      <c r="F176">
        <f t="shared" si="5"/>
        <v>1</v>
      </c>
    </row>
    <row r="177" spans="1:6" x14ac:dyDescent="0.35">
      <c r="A177" s="2">
        <f>'VaR Model'!C177</f>
        <v>44823</v>
      </c>
      <c r="B177" s="48">
        <f>'VaR Model'!D177</f>
        <v>3.9019418659208939E-3</v>
      </c>
      <c r="C177" s="47">
        <f>'VaR Model'!$G$16</f>
        <v>-2.1486122599356419E-2</v>
      </c>
      <c r="D177">
        <f t="shared" si="4"/>
        <v>0</v>
      </c>
      <c r="E177" s="53">
        <f>'VaR Model'!$G$21</f>
        <v>-1.5036332051297405E-2</v>
      </c>
      <c r="F177">
        <f t="shared" si="5"/>
        <v>0</v>
      </c>
    </row>
    <row r="178" spans="1:6" x14ac:dyDescent="0.35">
      <c r="A178" s="2">
        <f>'VaR Model'!C178</f>
        <v>44824</v>
      </c>
      <c r="B178" s="48">
        <f>'VaR Model'!D178</f>
        <v>4.6366753138987471E-3</v>
      </c>
      <c r="C178" s="47">
        <f>'VaR Model'!$G$16</f>
        <v>-2.1486122599356419E-2</v>
      </c>
      <c r="D178">
        <f t="shared" si="4"/>
        <v>0</v>
      </c>
      <c r="E178" s="53">
        <f>'VaR Model'!$G$21</f>
        <v>-1.5036332051297405E-2</v>
      </c>
      <c r="F178">
        <f t="shared" si="5"/>
        <v>0</v>
      </c>
    </row>
    <row r="179" spans="1:6" x14ac:dyDescent="0.35">
      <c r="A179" s="2">
        <f>'VaR Model'!C179</f>
        <v>44825</v>
      </c>
      <c r="B179" s="48">
        <f>'VaR Model'!D179</f>
        <v>-1.075194707953937E-3</v>
      </c>
      <c r="C179" s="47">
        <f>'VaR Model'!$G$16</f>
        <v>-2.1486122599356419E-2</v>
      </c>
      <c r="D179">
        <f t="shared" si="4"/>
        <v>0</v>
      </c>
      <c r="E179" s="53">
        <f>'VaR Model'!$G$21</f>
        <v>-1.5036332051297405E-2</v>
      </c>
      <c r="F179">
        <f t="shared" si="5"/>
        <v>0</v>
      </c>
    </row>
    <row r="180" spans="1:6" x14ac:dyDescent="0.35">
      <c r="A180" s="2">
        <f>'VaR Model'!C180</f>
        <v>44826</v>
      </c>
      <c r="B180" s="48">
        <f>'VaR Model'!D180</f>
        <v>-3.04966077871913E-3</v>
      </c>
      <c r="C180" s="47">
        <f>'VaR Model'!$G$16</f>
        <v>-2.1486122599356419E-2</v>
      </c>
      <c r="D180">
        <f t="shared" si="4"/>
        <v>0</v>
      </c>
      <c r="E180" s="53">
        <f>'VaR Model'!$G$21</f>
        <v>-1.5036332051297405E-2</v>
      </c>
      <c r="F180">
        <f t="shared" si="5"/>
        <v>0</v>
      </c>
    </row>
    <row r="181" spans="1:6" x14ac:dyDescent="0.35">
      <c r="A181" s="2">
        <f>'VaR Model'!C181</f>
        <v>44827</v>
      </c>
      <c r="B181" s="48">
        <f>'VaR Model'!D181</f>
        <v>-9.8004029367385233E-3</v>
      </c>
      <c r="C181" s="47">
        <f>'VaR Model'!$G$16</f>
        <v>-2.1486122599356419E-2</v>
      </c>
      <c r="D181">
        <f t="shared" si="4"/>
        <v>0</v>
      </c>
      <c r="E181" s="53">
        <f>'VaR Model'!$G$21</f>
        <v>-1.5036332051297405E-2</v>
      </c>
      <c r="F181">
        <f t="shared" si="5"/>
        <v>0</v>
      </c>
    </row>
    <row r="182" spans="1:6" x14ac:dyDescent="0.35">
      <c r="A182" s="2">
        <f>'VaR Model'!C182</f>
        <v>44830</v>
      </c>
      <c r="B182" s="48">
        <f>'VaR Model'!D182</f>
        <v>-1.5175823492499064E-2</v>
      </c>
      <c r="C182" s="47">
        <f>'VaR Model'!$G$16</f>
        <v>-2.1486122599356419E-2</v>
      </c>
      <c r="D182">
        <f t="shared" si="4"/>
        <v>0</v>
      </c>
      <c r="E182" s="53">
        <f>'VaR Model'!$G$21</f>
        <v>-1.5036332051297405E-2</v>
      </c>
      <c r="F182">
        <f t="shared" si="5"/>
        <v>1</v>
      </c>
    </row>
    <row r="183" spans="1:6" x14ac:dyDescent="0.35">
      <c r="A183" s="2">
        <f>'VaR Model'!C183</f>
        <v>44831</v>
      </c>
      <c r="B183" s="48">
        <f>'VaR Model'!D183</f>
        <v>4.4013503139714062E-3</v>
      </c>
      <c r="C183" s="47">
        <f>'VaR Model'!$G$16</f>
        <v>-2.1486122599356419E-2</v>
      </c>
      <c r="D183">
        <f t="shared" si="4"/>
        <v>0</v>
      </c>
      <c r="E183" s="53">
        <f>'VaR Model'!$G$21</f>
        <v>-1.5036332051297405E-2</v>
      </c>
      <c r="F183">
        <f t="shared" si="5"/>
        <v>0</v>
      </c>
    </row>
    <row r="184" spans="1:6" x14ac:dyDescent="0.35">
      <c r="A184" s="2">
        <f>'VaR Model'!C184</f>
        <v>44832</v>
      </c>
      <c r="B184" s="48">
        <f>'VaR Model'!D184</f>
        <v>-1.0749046524855383E-2</v>
      </c>
      <c r="C184" s="47">
        <f>'VaR Model'!$G$16</f>
        <v>-2.1486122599356419E-2</v>
      </c>
      <c r="D184">
        <f t="shared" si="4"/>
        <v>0</v>
      </c>
      <c r="E184" s="53">
        <f>'VaR Model'!$G$21</f>
        <v>-1.5036332051297405E-2</v>
      </c>
      <c r="F184">
        <f t="shared" si="5"/>
        <v>0</v>
      </c>
    </row>
    <row r="185" spans="1:6" x14ac:dyDescent="0.35">
      <c r="A185" s="2">
        <f>'VaR Model'!C185</f>
        <v>44833</v>
      </c>
      <c r="B185" s="48">
        <f>'VaR Model'!D185</f>
        <v>1.0092479224121558E-3</v>
      </c>
      <c r="C185" s="47">
        <f>'VaR Model'!$G$16</f>
        <v>-2.1486122599356419E-2</v>
      </c>
      <c r="D185">
        <f t="shared" si="4"/>
        <v>0</v>
      </c>
      <c r="E185" s="53">
        <f>'VaR Model'!$G$21</f>
        <v>-1.5036332051297405E-2</v>
      </c>
      <c r="F185">
        <f t="shared" si="5"/>
        <v>0</v>
      </c>
    </row>
    <row r="186" spans="1:6" x14ac:dyDescent="0.35">
      <c r="A186" s="2">
        <f>'VaR Model'!C186</f>
        <v>44834</v>
      </c>
      <c r="B186" s="48">
        <f>'VaR Model'!D186</f>
        <v>1.0786731095373486E-2</v>
      </c>
      <c r="C186" s="47">
        <f>'VaR Model'!$G$16</f>
        <v>-2.1486122599356419E-2</v>
      </c>
      <c r="D186">
        <f t="shared" si="4"/>
        <v>0</v>
      </c>
      <c r="E186" s="53">
        <f>'VaR Model'!$G$21</f>
        <v>-1.5036332051297405E-2</v>
      </c>
      <c r="F186">
        <f t="shared" si="5"/>
        <v>0</v>
      </c>
    </row>
    <row r="187" spans="1:6" x14ac:dyDescent="0.35">
      <c r="A187" s="2">
        <f>'VaR Model'!C187</f>
        <v>44837</v>
      </c>
      <c r="B187" s="48">
        <f>'VaR Model'!D187</f>
        <v>-1.2760012827987288E-2</v>
      </c>
      <c r="C187" s="47">
        <f>'VaR Model'!$G$16</f>
        <v>-2.1486122599356419E-2</v>
      </c>
      <c r="D187">
        <f t="shared" si="4"/>
        <v>0</v>
      </c>
      <c r="E187" s="53">
        <f>'VaR Model'!$G$21</f>
        <v>-1.5036332051297405E-2</v>
      </c>
      <c r="F187">
        <f t="shared" si="5"/>
        <v>0</v>
      </c>
    </row>
    <row r="188" spans="1:6" x14ac:dyDescent="0.35">
      <c r="A188" s="2">
        <f>'VaR Model'!C188</f>
        <v>44838</v>
      </c>
      <c r="B188" s="48">
        <f>'VaR Model'!D188</f>
        <v>2.534004097513428E-2</v>
      </c>
      <c r="C188" s="47">
        <f>'VaR Model'!$G$16</f>
        <v>-2.1486122599356419E-2</v>
      </c>
      <c r="D188">
        <f t="shared" si="4"/>
        <v>0</v>
      </c>
      <c r="E188" s="53">
        <f>'VaR Model'!$G$21</f>
        <v>-1.5036332051297405E-2</v>
      </c>
      <c r="F188">
        <f t="shared" si="5"/>
        <v>0</v>
      </c>
    </row>
    <row r="189" spans="1:6" x14ac:dyDescent="0.35">
      <c r="A189" s="2">
        <f>'VaR Model'!C189</f>
        <v>44840</v>
      </c>
      <c r="B189" s="48">
        <f>'VaR Model'!D189</f>
        <v>1.1337939044607385E-2</v>
      </c>
      <c r="C189" s="47">
        <f>'VaR Model'!$G$16</f>
        <v>-2.1486122599356419E-2</v>
      </c>
      <c r="D189">
        <f t="shared" si="4"/>
        <v>0</v>
      </c>
      <c r="E189" s="53">
        <f>'VaR Model'!$G$21</f>
        <v>-1.5036332051297405E-2</v>
      </c>
      <c r="F189">
        <f t="shared" si="5"/>
        <v>0</v>
      </c>
    </row>
    <row r="190" spans="1:6" x14ac:dyDescent="0.35">
      <c r="A190" s="2">
        <f>'VaR Model'!C190</f>
        <v>44841</v>
      </c>
      <c r="B190" s="48">
        <f>'VaR Model'!D190</f>
        <v>-4.2795684226510115E-3</v>
      </c>
      <c r="C190" s="47">
        <f>'VaR Model'!$G$16</f>
        <v>-2.1486122599356419E-2</v>
      </c>
      <c r="D190">
        <f t="shared" si="4"/>
        <v>0</v>
      </c>
      <c r="E190" s="53">
        <f>'VaR Model'!$G$21</f>
        <v>-1.5036332051297405E-2</v>
      </c>
      <c r="F190">
        <f t="shared" si="5"/>
        <v>0</v>
      </c>
    </row>
    <row r="191" spans="1:6" x14ac:dyDescent="0.35">
      <c r="A191" s="2">
        <f>'VaR Model'!C191</f>
        <v>44844</v>
      </c>
      <c r="B191" s="48">
        <f>'VaR Model'!D191</f>
        <v>-1.1122673971681193E-3</v>
      </c>
      <c r="C191" s="47">
        <f>'VaR Model'!$G$16</f>
        <v>-2.1486122599356419E-2</v>
      </c>
      <c r="D191">
        <f t="shared" si="4"/>
        <v>0</v>
      </c>
      <c r="E191" s="53">
        <f>'VaR Model'!$G$21</f>
        <v>-1.5036332051297405E-2</v>
      </c>
      <c r="F191">
        <f t="shared" si="5"/>
        <v>0</v>
      </c>
    </row>
    <row r="192" spans="1:6" x14ac:dyDescent="0.35">
      <c r="A192" s="2">
        <f>'VaR Model'!C192</f>
        <v>44845</v>
      </c>
      <c r="B192" s="48">
        <f>'VaR Model'!D192</f>
        <v>-1.6065822214709733E-2</v>
      </c>
      <c r="C192" s="47">
        <f>'VaR Model'!$G$16</f>
        <v>-2.1486122599356419E-2</v>
      </c>
      <c r="D192">
        <f t="shared" si="4"/>
        <v>0</v>
      </c>
      <c r="E192" s="53">
        <f>'VaR Model'!$G$21</f>
        <v>-1.5036332051297405E-2</v>
      </c>
      <c r="F192">
        <f t="shared" si="5"/>
        <v>1</v>
      </c>
    </row>
    <row r="193" spans="1:6" x14ac:dyDescent="0.35">
      <c r="A193" s="2">
        <f>'VaR Model'!C193</f>
        <v>44846</v>
      </c>
      <c r="B193" s="48">
        <f>'VaR Model'!D193</f>
        <v>5.9766048471025218E-3</v>
      </c>
      <c r="C193" s="47">
        <f>'VaR Model'!$G$16</f>
        <v>-2.1486122599356419E-2</v>
      </c>
      <c r="D193">
        <f t="shared" si="4"/>
        <v>0</v>
      </c>
      <c r="E193" s="53">
        <f>'VaR Model'!$G$21</f>
        <v>-1.5036332051297405E-2</v>
      </c>
      <c r="F193">
        <f t="shared" si="5"/>
        <v>0</v>
      </c>
    </row>
    <row r="194" spans="1:6" x14ac:dyDescent="0.35">
      <c r="A194" s="2">
        <f>'VaR Model'!C194</f>
        <v>44847</v>
      </c>
      <c r="B194" s="48">
        <f>'VaR Model'!D194</f>
        <v>-4.743865641533806E-3</v>
      </c>
      <c r="C194" s="47">
        <f>'VaR Model'!$G$16</f>
        <v>-2.1486122599356419E-2</v>
      </c>
      <c r="D194">
        <f t="shared" si="4"/>
        <v>0</v>
      </c>
      <c r="E194" s="53">
        <f>'VaR Model'!$G$21</f>
        <v>-1.5036332051297405E-2</v>
      </c>
      <c r="F194">
        <f t="shared" si="5"/>
        <v>0</v>
      </c>
    </row>
    <row r="195" spans="1:6" x14ac:dyDescent="0.35">
      <c r="A195" s="2">
        <f>'VaR Model'!C195</f>
        <v>44848</v>
      </c>
      <c r="B195" s="48">
        <f>'VaR Model'!D195</f>
        <v>1.2180572523455429E-2</v>
      </c>
      <c r="C195" s="47">
        <f>'VaR Model'!$G$16</f>
        <v>-2.1486122599356419E-2</v>
      </c>
      <c r="D195">
        <f t="shared" ref="D195:D258" si="6">IF(B195&lt;C195,1,0)</f>
        <v>0</v>
      </c>
      <c r="E195" s="53">
        <f>'VaR Model'!$G$21</f>
        <v>-1.5036332051297405E-2</v>
      </c>
      <c r="F195">
        <f t="shared" ref="F195:F258" si="7">IF(B195&lt;E195,1,0)</f>
        <v>0</v>
      </c>
    </row>
    <row r="196" spans="1:6" x14ac:dyDescent="0.35">
      <c r="A196" s="2">
        <f>'VaR Model'!C196</f>
        <v>44851</v>
      </c>
      <c r="B196" s="48">
        <f>'VaR Model'!D196</f>
        <v>9.6113008846765973E-3</v>
      </c>
      <c r="C196" s="47">
        <f>'VaR Model'!$G$16</f>
        <v>-2.1486122599356419E-2</v>
      </c>
      <c r="D196">
        <f t="shared" si="6"/>
        <v>0</v>
      </c>
      <c r="E196" s="53">
        <f>'VaR Model'!$G$21</f>
        <v>-1.5036332051297405E-2</v>
      </c>
      <c r="F196">
        <f t="shared" si="7"/>
        <v>0</v>
      </c>
    </row>
    <row r="197" spans="1:6" x14ac:dyDescent="0.35">
      <c r="A197" s="2">
        <f>'VaR Model'!C197</f>
        <v>44852</v>
      </c>
      <c r="B197" s="48">
        <f>'VaR Model'!D197</f>
        <v>1.4855020826332832E-2</v>
      </c>
      <c r="C197" s="47">
        <f>'VaR Model'!$G$16</f>
        <v>-2.1486122599356419E-2</v>
      </c>
      <c r="D197">
        <f t="shared" si="6"/>
        <v>0</v>
      </c>
      <c r="E197" s="53">
        <f>'VaR Model'!$G$21</f>
        <v>-1.5036332051297405E-2</v>
      </c>
      <c r="F197">
        <f t="shared" si="7"/>
        <v>0</v>
      </c>
    </row>
    <row r="198" spans="1:6" x14ac:dyDescent="0.35">
      <c r="A198" s="2">
        <f>'VaR Model'!C198</f>
        <v>44853</v>
      </c>
      <c r="B198" s="48">
        <f>'VaR Model'!D198</f>
        <v>1.999894353020875E-3</v>
      </c>
      <c r="C198" s="47">
        <f>'VaR Model'!$G$16</f>
        <v>-2.1486122599356419E-2</v>
      </c>
      <c r="D198">
        <f t="shared" si="6"/>
        <v>0</v>
      </c>
      <c r="E198" s="53">
        <f>'VaR Model'!$G$21</f>
        <v>-1.5036332051297405E-2</v>
      </c>
      <c r="F198">
        <f t="shared" si="7"/>
        <v>0</v>
      </c>
    </row>
    <row r="199" spans="1:6" x14ac:dyDescent="0.35">
      <c r="A199" s="2">
        <f>'VaR Model'!C199</f>
        <v>44854</v>
      </c>
      <c r="B199" s="48">
        <f>'VaR Model'!D199</f>
        <v>6.0154944347668039E-3</v>
      </c>
      <c r="C199" s="47">
        <f>'VaR Model'!$G$16</f>
        <v>-2.1486122599356419E-2</v>
      </c>
      <c r="D199">
        <f t="shared" si="6"/>
        <v>0</v>
      </c>
      <c r="E199" s="53">
        <f>'VaR Model'!$G$21</f>
        <v>-1.5036332051297405E-2</v>
      </c>
      <c r="F199">
        <f t="shared" si="7"/>
        <v>0</v>
      </c>
    </row>
    <row r="200" spans="1:6" x14ac:dyDescent="0.35">
      <c r="A200" s="2">
        <f>'VaR Model'!C200</f>
        <v>44855</v>
      </c>
      <c r="B200" s="48">
        <f>'VaR Model'!D200</f>
        <v>-1.8927272670183073E-3</v>
      </c>
      <c r="C200" s="47">
        <f>'VaR Model'!$G$16</f>
        <v>-2.1486122599356419E-2</v>
      </c>
      <c r="D200">
        <f t="shared" si="6"/>
        <v>0</v>
      </c>
      <c r="E200" s="53">
        <f>'VaR Model'!$G$21</f>
        <v>-1.5036332051297405E-2</v>
      </c>
      <c r="F200">
        <f t="shared" si="7"/>
        <v>0</v>
      </c>
    </row>
    <row r="201" spans="1:6" x14ac:dyDescent="0.35">
      <c r="A201" s="2">
        <f>'VaR Model'!C201</f>
        <v>44858</v>
      </c>
      <c r="B201" s="48">
        <f>'VaR Model'!D201</f>
        <v>9.9008750396821447E-3</v>
      </c>
      <c r="C201" s="47">
        <f>'VaR Model'!$G$16</f>
        <v>-2.1486122599356419E-2</v>
      </c>
      <c r="D201">
        <f t="shared" si="6"/>
        <v>0</v>
      </c>
      <c r="E201" s="53">
        <f>'VaR Model'!$G$21</f>
        <v>-1.5036332051297405E-2</v>
      </c>
      <c r="F201">
        <f t="shared" si="7"/>
        <v>0</v>
      </c>
    </row>
    <row r="202" spans="1:6" x14ac:dyDescent="0.35">
      <c r="A202" s="2">
        <f>'VaR Model'!C202</f>
        <v>44859</v>
      </c>
      <c r="B202" s="48">
        <f>'VaR Model'!D202</f>
        <v>-3.053379446484027E-3</v>
      </c>
      <c r="C202" s="47">
        <f>'VaR Model'!$G$16</f>
        <v>-2.1486122599356419E-2</v>
      </c>
      <c r="D202">
        <f t="shared" si="6"/>
        <v>0</v>
      </c>
      <c r="E202" s="53">
        <f>'VaR Model'!$G$21</f>
        <v>-1.5036332051297405E-2</v>
      </c>
      <c r="F202">
        <f t="shared" si="7"/>
        <v>0</v>
      </c>
    </row>
    <row r="203" spans="1:6" x14ac:dyDescent="0.35">
      <c r="A203" s="2">
        <f>'VaR Model'!C203</f>
        <v>44861</v>
      </c>
      <c r="B203" s="48">
        <f>'VaR Model'!D203</f>
        <v>-2.5246182761789039E-4</v>
      </c>
      <c r="C203" s="47">
        <f>'VaR Model'!$G$16</f>
        <v>-2.1486122599356419E-2</v>
      </c>
      <c r="D203">
        <f t="shared" si="6"/>
        <v>0</v>
      </c>
      <c r="E203" s="53">
        <f>'VaR Model'!$G$21</f>
        <v>-1.5036332051297405E-2</v>
      </c>
      <c r="F203">
        <f t="shared" si="7"/>
        <v>0</v>
      </c>
    </row>
    <row r="204" spans="1:6" x14ac:dyDescent="0.35">
      <c r="A204" s="2">
        <f>'VaR Model'!C204</f>
        <v>44862</v>
      </c>
      <c r="B204" s="48">
        <f>'VaR Model'!D204</f>
        <v>1.3750421738952696E-3</v>
      </c>
      <c r="C204" s="47">
        <f>'VaR Model'!$G$16</f>
        <v>-2.1486122599356419E-2</v>
      </c>
      <c r="D204">
        <f t="shared" si="6"/>
        <v>0</v>
      </c>
      <c r="E204" s="53">
        <f>'VaR Model'!$G$21</f>
        <v>-1.5036332051297405E-2</v>
      </c>
      <c r="F204">
        <f t="shared" si="7"/>
        <v>0</v>
      </c>
    </row>
    <row r="205" spans="1:6" x14ac:dyDescent="0.35">
      <c r="A205" s="2">
        <f>'VaR Model'!C205</f>
        <v>44865</v>
      </c>
      <c r="B205" s="48">
        <f>'VaR Model'!D205</f>
        <v>8.7910809624351383E-3</v>
      </c>
      <c r="C205" s="47">
        <f>'VaR Model'!$G$16</f>
        <v>-2.1486122599356419E-2</v>
      </c>
      <c r="D205">
        <f t="shared" si="6"/>
        <v>0</v>
      </c>
      <c r="E205" s="53">
        <f>'VaR Model'!$G$21</f>
        <v>-1.5036332051297405E-2</v>
      </c>
      <c r="F205">
        <f t="shared" si="7"/>
        <v>0</v>
      </c>
    </row>
    <row r="206" spans="1:6" x14ac:dyDescent="0.35">
      <c r="A206" s="2">
        <f>'VaR Model'!C206</f>
        <v>44866</v>
      </c>
      <c r="B206" s="48">
        <f>'VaR Model'!D206</f>
        <v>7.5497233045846799E-3</v>
      </c>
      <c r="C206" s="47">
        <f>'VaR Model'!$G$16</f>
        <v>-2.1486122599356419E-2</v>
      </c>
      <c r="D206">
        <f t="shared" si="6"/>
        <v>0</v>
      </c>
      <c r="E206" s="53">
        <f>'VaR Model'!$G$21</f>
        <v>-1.5036332051297405E-2</v>
      </c>
      <c r="F206">
        <f t="shared" si="7"/>
        <v>0</v>
      </c>
    </row>
    <row r="207" spans="1:6" x14ac:dyDescent="0.35">
      <c r="A207" s="2">
        <f>'VaR Model'!C207</f>
        <v>44867</v>
      </c>
      <c r="B207" s="48">
        <f>'VaR Model'!D207</f>
        <v>-3.1659955885724378E-4</v>
      </c>
      <c r="C207" s="47">
        <f>'VaR Model'!$G$16</f>
        <v>-2.1486122599356419E-2</v>
      </c>
      <c r="D207">
        <f t="shared" si="6"/>
        <v>0</v>
      </c>
      <c r="E207" s="53">
        <f>'VaR Model'!$G$21</f>
        <v>-1.5036332051297405E-2</v>
      </c>
      <c r="F207">
        <f t="shared" si="7"/>
        <v>0</v>
      </c>
    </row>
    <row r="208" spans="1:6" x14ac:dyDescent="0.35">
      <c r="A208" s="2">
        <f>'VaR Model'!C208</f>
        <v>44868</v>
      </c>
      <c r="B208" s="48">
        <f>'VaR Model'!D208</f>
        <v>-4.0162834945542038E-3</v>
      </c>
      <c r="C208" s="47">
        <f>'VaR Model'!$G$16</f>
        <v>-2.1486122599356419E-2</v>
      </c>
      <c r="D208">
        <f t="shared" si="6"/>
        <v>0</v>
      </c>
      <c r="E208" s="53">
        <f>'VaR Model'!$G$21</f>
        <v>-1.5036332051297405E-2</v>
      </c>
      <c r="F208">
        <f t="shared" si="7"/>
        <v>0</v>
      </c>
    </row>
    <row r="209" spans="1:6" x14ac:dyDescent="0.35">
      <c r="A209" s="2">
        <f>'VaR Model'!C209</f>
        <v>44869</v>
      </c>
      <c r="B209" s="48">
        <f>'VaR Model'!D209</f>
        <v>5.8976410618482298E-4</v>
      </c>
      <c r="C209" s="47">
        <f>'VaR Model'!$G$16</f>
        <v>-2.1486122599356419E-2</v>
      </c>
      <c r="D209">
        <f t="shared" si="6"/>
        <v>0</v>
      </c>
      <c r="E209" s="53">
        <f>'VaR Model'!$G$21</f>
        <v>-1.5036332051297405E-2</v>
      </c>
      <c r="F209">
        <f t="shared" si="7"/>
        <v>0</v>
      </c>
    </row>
    <row r="210" spans="1:6" x14ac:dyDescent="0.35">
      <c r="A210" s="2">
        <f>'VaR Model'!C210</f>
        <v>44872</v>
      </c>
      <c r="B210" s="48">
        <f>'VaR Model'!D210</f>
        <v>3.8328441117504424E-3</v>
      </c>
      <c r="C210" s="47">
        <f>'VaR Model'!$G$16</f>
        <v>-2.1486122599356419E-2</v>
      </c>
      <c r="D210">
        <f t="shared" si="6"/>
        <v>0</v>
      </c>
      <c r="E210" s="53">
        <f>'VaR Model'!$G$21</f>
        <v>-1.5036332051297405E-2</v>
      </c>
      <c r="F210">
        <f t="shared" si="7"/>
        <v>0</v>
      </c>
    </row>
    <row r="211" spans="1:6" x14ac:dyDescent="0.35">
      <c r="A211" s="2">
        <f>'VaR Model'!C211</f>
        <v>44874</v>
      </c>
      <c r="B211" s="48">
        <f>'VaR Model'!D211</f>
        <v>1.7003916404587649E-3</v>
      </c>
      <c r="C211" s="47">
        <f>'VaR Model'!$G$16</f>
        <v>-2.1486122599356419E-2</v>
      </c>
      <c r="D211">
        <f t="shared" si="6"/>
        <v>0</v>
      </c>
      <c r="E211" s="53">
        <f>'VaR Model'!$G$21</f>
        <v>-1.5036332051297405E-2</v>
      </c>
      <c r="F211">
        <f t="shared" si="7"/>
        <v>0</v>
      </c>
    </row>
    <row r="212" spans="1:6" x14ac:dyDescent="0.35">
      <c r="A212" s="2">
        <f>'VaR Model'!C212</f>
        <v>44875</v>
      </c>
      <c r="B212" s="48">
        <f>'VaR Model'!D212</f>
        <v>-6.8891147700805861E-3</v>
      </c>
      <c r="C212" s="47">
        <f>'VaR Model'!$G$16</f>
        <v>-2.1486122599356419E-2</v>
      </c>
      <c r="D212">
        <f t="shared" si="6"/>
        <v>0</v>
      </c>
      <c r="E212" s="53">
        <f>'VaR Model'!$G$21</f>
        <v>-1.5036332051297405E-2</v>
      </c>
      <c r="F212">
        <f t="shared" si="7"/>
        <v>0</v>
      </c>
    </row>
    <row r="213" spans="1:6" x14ac:dyDescent="0.35">
      <c r="A213" s="2">
        <f>'VaR Model'!C213</f>
        <v>44876</v>
      </c>
      <c r="B213" s="48">
        <f>'VaR Model'!D213</f>
        <v>1.9484248386635143E-2</v>
      </c>
      <c r="C213" s="47">
        <f>'VaR Model'!$G$16</f>
        <v>-2.1486122599356419E-2</v>
      </c>
      <c r="D213">
        <f t="shared" si="6"/>
        <v>0</v>
      </c>
      <c r="E213" s="53">
        <f>'VaR Model'!$G$21</f>
        <v>-1.5036332051297405E-2</v>
      </c>
      <c r="F213">
        <f t="shared" si="7"/>
        <v>0</v>
      </c>
    </row>
    <row r="214" spans="1:6" x14ac:dyDescent="0.35">
      <c r="A214" s="2">
        <f>'VaR Model'!C214</f>
        <v>44879</v>
      </c>
      <c r="B214" s="48">
        <f>'VaR Model'!D214</f>
        <v>-5.6502903356550217E-3</v>
      </c>
      <c r="C214" s="47">
        <f>'VaR Model'!$G$16</f>
        <v>-2.1486122599356419E-2</v>
      </c>
      <c r="D214">
        <f t="shared" si="6"/>
        <v>0</v>
      </c>
      <c r="E214" s="53">
        <f>'VaR Model'!$G$21</f>
        <v>-1.5036332051297405E-2</v>
      </c>
      <c r="F214">
        <f t="shared" si="7"/>
        <v>0</v>
      </c>
    </row>
    <row r="215" spans="1:6" x14ac:dyDescent="0.35">
      <c r="A215" s="2">
        <f>'VaR Model'!C215</f>
        <v>44880</v>
      </c>
      <c r="B215" s="48">
        <f>'VaR Model'!D215</f>
        <v>2.6086193261831802E-3</v>
      </c>
      <c r="C215" s="47">
        <f>'VaR Model'!$G$16</f>
        <v>-2.1486122599356419E-2</v>
      </c>
      <c r="D215">
        <f t="shared" si="6"/>
        <v>0</v>
      </c>
      <c r="E215" s="53">
        <f>'VaR Model'!$G$21</f>
        <v>-1.5036332051297405E-2</v>
      </c>
      <c r="F215">
        <f t="shared" si="7"/>
        <v>0</v>
      </c>
    </row>
    <row r="216" spans="1:6" x14ac:dyDescent="0.35">
      <c r="A216" s="2">
        <f>'VaR Model'!C216</f>
        <v>44881</v>
      </c>
      <c r="B216" s="48">
        <f>'VaR Model'!D216</f>
        <v>1.0555874011025273E-3</v>
      </c>
      <c r="C216" s="47">
        <f>'VaR Model'!$G$16</f>
        <v>-2.1486122599356419E-2</v>
      </c>
      <c r="D216">
        <f t="shared" si="6"/>
        <v>0</v>
      </c>
      <c r="E216" s="53">
        <f>'VaR Model'!$G$21</f>
        <v>-1.5036332051297405E-2</v>
      </c>
      <c r="F216">
        <f t="shared" si="7"/>
        <v>0</v>
      </c>
    </row>
    <row r="217" spans="1:6" x14ac:dyDescent="0.35">
      <c r="A217" s="2">
        <f>'VaR Model'!C217</f>
        <v>44882</v>
      </c>
      <c r="B217" s="48">
        <f>'VaR Model'!D217</f>
        <v>-6.6807695748724019E-4</v>
      </c>
      <c r="C217" s="47">
        <f>'VaR Model'!$G$16</f>
        <v>-2.1486122599356419E-2</v>
      </c>
      <c r="D217">
        <f t="shared" si="6"/>
        <v>0</v>
      </c>
      <c r="E217" s="53">
        <f>'VaR Model'!$G$21</f>
        <v>-1.5036332051297405E-2</v>
      </c>
      <c r="F217">
        <f t="shared" si="7"/>
        <v>0</v>
      </c>
    </row>
    <row r="218" spans="1:6" x14ac:dyDescent="0.35">
      <c r="A218" s="2">
        <f>'VaR Model'!C218</f>
        <v>44883</v>
      </c>
      <c r="B218" s="48">
        <f>'VaR Model'!D218</f>
        <v>-1.1170791094353015E-3</v>
      </c>
      <c r="C218" s="47">
        <f>'VaR Model'!$G$16</f>
        <v>-2.1486122599356419E-2</v>
      </c>
      <c r="D218">
        <f t="shared" si="6"/>
        <v>0</v>
      </c>
      <c r="E218" s="53">
        <f>'VaR Model'!$G$21</f>
        <v>-1.5036332051297405E-2</v>
      </c>
      <c r="F218">
        <f t="shared" si="7"/>
        <v>0</v>
      </c>
    </row>
    <row r="219" spans="1:6" x14ac:dyDescent="0.35">
      <c r="A219" s="2">
        <f>'VaR Model'!C219</f>
        <v>44886</v>
      </c>
      <c r="B219" s="48">
        <f>'VaR Model'!D219</f>
        <v>-1.2477901868680393E-2</v>
      </c>
      <c r="C219" s="47">
        <f>'VaR Model'!$G$16</f>
        <v>-2.1486122599356419E-2</v>
      </c>
      <c r="D219">
        <f t="shared" si="6"/>
        <v>0</v>
      </c>
      <c r="E219" s="53">
        <f>'VaR Model'!$G$21</f>
        <v>-1.5036332051297405E-2</v>
      </c>
      <c r="F219">
        <f t="shared" si="7"/>
        <v>0</v>
      </c>
    </row>
    <row r="220" spans="1:6" x14ac:dyDescent="0.35">
      <c r="A220" s="2">
        <f>'VaR Model'!C220</f>
        <v>44887</v>
      </c>
      <c r="B220" s="48">
        <f>'VaR Model'!D220</f>
        <v>7.4488761770119573E-3</v>
      </c>
      <c r="C220" s="47">
        <f>'VaR Model'!$G$16</f>
        <v>-2.1486122599356419E-2</v>
      </c>
      <c r="D220">
        <f t="shared" si="6"/>
        <v>0</v>
      </c>
      <c r="E220" s="53">
        <f>'VaR Model'!$G$21</f>
        <v>-1.5036332051297405E-2</v>
      </c>
      <c r="F220">
        <f t="shared" si="7"/>
        <v>0</v>
      </c>
    </row>
    <row r="221" spans="1:6" x14ac:dyDescent="0.35">
      <c r="A221" s="2">
        <f>'VaR Model'!C221</f>
        <v>44888</v>
      </c>
      <c r="B221" s="48">
        <f>'VaR Model'!D221</f>
        <v>-7.2221608856658671E-4</v>
      </c>
      <c r="C221" s="47">
        <f>'VaR Model'!$G$16</f>
        <v>-2.1486122599356419E-2</v>
      </c>
      <c r="D221">
        <f t="shared" si="6"/>
        <v>0</v>
      </c>
      <c r="E221" s="53">
        <f>'VaR Model'!$G$21</f>
        <v>-1.5036332051297405E-2</v>
      </c>
      <c r="F221">
        <f t="shared" si="7"/>
        <v>0</v>
      </c>
    </row>
    <row r="222" spans="1:6" x14ac:dyDescent="0.35">
      <c r="A222" s="2">
        <f>'VaR Model'!C222</f>
        <v>44889</v>
      </c>
      <c r="B222" s="48">
        <f>'VaR Model'!D222</f>
        <v>1.4822195633372755E-2</v>
      </c>
      <c r="C222" s="47">
        <f>'VaR Model'!$G$16</f>
        <v>-2.1486122599356419E-2</v>
      </c>
      <c r="D222">
        <f t="shared" si="6"/>
        <v>0</v>
      </c>
      <c r="E222" s="53">
        <f>'VaR Model'!$G$21</f>
        <v>-1.5036332051297405E-2</v>
      </c>
      <c r="F222">
        <f t="shared" si="7"/>
        <v>0</v>
      </c>
    </row>
    <row r="223" spans="1:6" x14ac:dyDescent="0.35">
      <c r="A223" s="2">
        <f>'VaR Model'!C223</f>
        <v>44890</v>
      </c>
      <c r="B223" s="48">
        <f>'VaR Model'!D223</f>
        <v>2.1514757963375757E-3</v>
      </c>
      <c r="C223" s="47">
        <f>'VaR Model'!$G$16</f>
        <v>-2.1486122599356419E-2</v>
      </c>
      <c r="D223">
        <f t="shared" si="6"/>
        <v>0</v>
      </c>
      <c r="E223" s="53">
        <f>'VaR Model'!$G$21</f>
        <v>-1.5036332051297405E-2</v>
      </c>
      <c r="F223">
        <f t="shared" si="7"/>
        <v>0</v>
      </c>
    </row>
    <row r="224" spans="1:6" x14ac:dyDescent="0.35">
      <c r="A224" s="2">
        <f>'VaR Model'!C224</f>
        <v>44893</v>
      </c>
      <c r="B224" s="48">
        <f>'VaR Model'!D224</f>
        <v>6.9563719734536903E-3</v>
      </c>
      <c r="C224" s="47">
        <f>'VaR Model'!$G$16</f>
        <v>-2.1486122599356419E-2</v>
      </c>
      <c r="D224">
        <f t="shared" si="6"/>
        <v>0</v>
      </c>
      <c r="E224" s="53">
        <f>'VaR Model'!$G$21</f>
        <v>-1.5036332051297405E-2</v>
      </c>
      <c r="F224">
        <f t="shared" si="7"/>
        <v>0</v>
      </c>
    </row>
    <row r="225" spans="1:6" x14ac:dyDescent="0.35">
      <c r="A225" s="2">
        <f>'VaR Model'!C225</f>
        <v>44894</v>
      </c>
      <c r="B225" s="48">
        <f>'VaR Model'!D225</f>
        <v>4.4621719396936328E-3</v>
      </c>
      <c r="C225" s="47">
        <f>'VaR Model'!$G$16</f>
        <v>-2.1486122599356419E-2</v>
      </c>
      <c r="D225">
        <f t="shared" si="6"/>
        <v>0</v>
      </c>
      <c r="E225" s="53">
        <f>'VaR Model'!$G$21</f>
        <v>-1.5036332051297405E-2</v>
      </c>
      <c r="F225">
        <f t="shared" si="7"/>
        <v>0</v>
      </c>
    </row>
    <row r="226" spans="1:6" x14ac:dyDescent="0.35">
      <c r="A226" s="2">
        <f>'VaR Model'!C226</f>
        <v>44895</v>
      </c>
      <c r="B226" s="48">
        <f>'VaR Model'!D226</f>
        <v>1.6942807830830993E-3</v>
      </c>
      <c r="C226" s="47">
        <f>'VaR Model'!$G$16</f>
        <v>-2.1486122599356419E-2</v>
      </c>
      <c r="D226">
        <f t="shared" si="6"/>
        <v>0</v>
      </c>
      <c r="E226" s="53">
        <f>'VaR Model'!$G$21</f>
        <v>-1.5036332051297405E-2</v>
      </c>
      <c r="F226">
        <f t="shared" si="7"/>
        <v>0</v>
      </c>
    </row>
    <row r="227" spans="1:6" x14ac:dyDescent="0.35">
      <c r="A227" s="2">
        <f>'VaR Model'!C227</f>
        <v>44896</v>
      </c>
      <c r="B227" s="48">
        <f>'VaR Model'!D227</f>
        <v>4.0940399773432019E-3</v>
      </c>
      <c r="C227" s="47">
        <f>'VaR Model'!$G$16</f>
        <v>-2.1486122599356419E-2</v>
      </c>
      <c r="D227">
        <f t="shared" si="6"/>
        <v>0</v>
      </c>
      <c r="E227" s="53">
        <f>'VaR Model'!$G$21</f>
        <v>-1.5036332051297405E-2</v>
      </c>
      <c r="F227">
        <f t="shared" si="7"/>
        <v>0</v>
      </c>
    </row>
    <row r="228" spans="1:6" x14ac:dyDescent="0.35">
      <c r="A228" s="2">
        <f>'VaR Model'!C228</f>
        <v>44897</v>
      </c>
      <c r="B228" s="48">
        <f>'VaR Model'!D228</f>
        <v>-7.9958300561580251E-3</v>
      </c>
      <c r="C228" s="47">
        <f>'VaR Model'!$G$16</f>
        <v>-2.1486122599356419E-2</v>
      </c>
      <c r="D228">
        <f t="shared" si="6"/>
        <v>0</v>
      </c>
      <c r="E228" s="53">
        <f>'VaR Model'!$G$21</f>
        <v>-1.5036332051297405E-2</v>
      </c>
      <c r="F228">
        <f t="shared" si="7"/>
        <v>0</v>
      </c>
    </row>
    <row r="229" spans="1:6" x14ac:dyDescent="0.35">
      <c r="A229" s="2">
        <f>'VaR Model'!C229</f>
        <v>44900</v>
      </c>
      <c r="B229" s="48">
        <f>'VaR Model'!D229</f>
        <v>-3.0791024121953128E-3</v>
      </c>
      <c r="C229" s="47">
        <f>'VaR Model'!$G$16</f>
        <v>-2.1486122599356419E-2</v>
      </c>
      <c r="D229">
        <f t="shared" si="6"/>
        <v>0</v>
      </c>
      <c r="E229" s="53">
        <f>'VaR Model'!$G$21</f>
        <v>-1.5036332051297405E-2</v>
      </c>
      <c r="F229">
        <f t="shared" si="7"/>
        <v>0</v>
      </c>
    </row>
    <row r="230" spans="1:6" x14ac:dyDescent="0.35">
      <c r="A230" s="2">
        <f>'VaR Model'!C230</f>
        <v>44901</v>
      </c>
      <c r="B230" s="48">
        <f>'VaR Model'!D230</f>
        <v>-7.1438082575685019E-3</v>
      </c>
      <c r="C230" s="47">
        <f>'VaR Model'!$G$16</f>
        <v>-2.1486122599356419E-2</v>
      </c>
      <c r="D230">
        <f t="shared" si="6"/>
        <v>0</v>
      </c>
      <c r="E230" s="53">
        <f>'VaR Model'!$G$21</f>
        <v>-1.5036332051297405E-2</v>
      </c>
      <c r="F230">
        <f t="shared" si="7"/>
        <v>0</v>
      </c>
    </row>
    <row r="231" spans="1:6" x14ac:dyDescent="0.35">
      <c r="A231" s="2">
        <f>'VaR Model'!C231</f>
        <v>44902</v>
      </c>
      <c r="B231" s="48">
        <f>'VaR Model'!D231</f>
        <v>-2.6245170551156432E-3</v>
      </c>
      <c r="C231" s="47">
        <f>'VaR Model'!$G$16</f>
        <v>-2.1486122599356419E-2</v>
      </c>
      <c r="D231">
        <f t="shared" si="6"/>
        <v>0</v>
      </c>
      <c r="E231" s="53">
        <f>'VaR Model'!$G$21</f>
        <v>-1.5036332051297405E-2</v>
      </c>
      <c r="F231">
        <f t="shared" si="7"/>
        <v>0</v>
      </c>
    </row>
    <row r="232" spans="1:6" x14ac:dyDescent="0.35">
      <c r="A232" s="2">
        <f>'VaR Model'!C232</f>
        <v>44903</v>
      </c>
      <c r="B232" s="48">
        <f>'VaR Model'!D232</f>
        <v>1.0373740824376845E-3</v>
      </c>
      <c r="C232" s="47">
        <f>'VaR Model'!$G$16</f>
        <v>-2.1486122599356419E-2</v>
      </c>
      <c r="D232">
        <f t="shared" si="6"/>
        <v>0</v>
      </c>
      <c r="E232" s="53">
        <f>'VaR Model'!$G$21</f>
        <v>-1.5036332051297405E-2</v>
      </c>
      <c r="F232">
        <f t="shared" si="7"/>
        <v>0</v>
      </c>
    </row>
    <row r="233" spans="1:6" x14ac:dyDescent="0.35">
      <c r="A233" s="2">
        <f>'VaR Model'!C233</f>
        <v>44904</v>
      </c>
      <c r="B233" s="48">
        <f>'VaR Model'!D233</f>
        <v>-1.1576182729727364E-2</v>
      </c>
      <c r="C233" s="47">
        <f>'VaR Model'!$G$16</f>
        <v>-2.1486122599356419E-2</v>
      </c>
      <c r="D233">
        <f t="shared" si="6"/>
        <v>0</v>
      </c>
      <c r="E233" s="53">
        <f>'VaR Model'!$G$21</f>
        <v>-1.5036332051297405E-2</v>
      </c>
      <c r="F233">
        <f t="shared" si="7"/>
        <v>0</v>
      </c>
    </row>
    <row r="234" spans="1:6" x14ac:dyDescent="0.35">
      <c r="A234" s="2">
        <f>'VaR Model'!C234</f>
        <v>44907</v>
      </c>
      <c r="B234" s="48">
        <f>'VaR Model'!D234</f>
        <v>-1.7765617417830266E-3</v>
      </c>
      <c r="C234" s="47">
        <f>'VaR Model'!$G$16</f>
        <v>-2.1486122599356419E-2</v>
      </c>
      <c r="D234">
        <f t="shared" si="6"/>
        <v>0</v>
      </c>
      <c r="E234" s="53">
        <f>'VaR Model'!$G$21</f>
        <v>-1.5036332051297405E-2</v>
      </c>
      <c r="F234">
        <f t="shared" si="7"/>
        <v>0</v>
      </c>
    </row>
    <row r="235" spans="1:6" x14ac:dyDescent="0.35">
      <c r="A235" s="2">
        <f>'VaR Model'!C235</f>
        <v>44908</v>
      </c>
      <c r="B235" s="48">
        <f>'VaR Model'!D235</f>
        <v>8.8265273952832686E-3</v>
      </c>
      <c r="C235" s="47">
        <f>'VaR Model'!$G$16</f>
        <v>-2.1486122599356419E-2</v>
      </c>
      <c r="D235">
        <f t="shared" si="6"/>
        <v>0</v>
      </c>
      <c r="E235" s="53">
        <f>'VaR Model'!$G$21</f>
        <v>-1.5036332051297405E-2</v>
      </c>
      <c r="F235">
        <f t="shared" si="7"/>
        <v>0</v>
      </c>
    </row>
    <row r="236" spans="1:6" x14ac:dyDescent="0.35">
      <c r="A236" s="2">
        <f>'VaR Model'!C236</f>
        <v>44909</v>
      </c>
      <c r="B236" s="48">
        <f>'VaR Model'!D236</f>
        <v>-3.4477121731184919E-4</v>
      </c>
      <c r="C236" s="47">
        <f>'VaR Model'!$G$16</f>
        <v>-2.1486122599356419E-2</v>
      </c>
      <c r="D236">
        <f t="shared" si="6"/>
        <v>0</v>
      </c>
      <c r="E236" s="53">
        <f>'VaR Model'!$G$21</f>
        <v>-1.5036332051297405E-2</v>
      </c>
      <c r="F236">
        <f t="shared" si="7"/>
        <v>0</v>
      </c>
    </row>
    <row r="237" spans="1:6" x14ac:dyDescent="0.35">
      <c r="A237" s="2">
        <f>'VaR Model'!C237</f>
        <v>44910</v>
      </c>
      <c r="B237" s="48">
        <f>'VaR Model'!D237</f>
        <v>-1.8125700713524557E-2</v>
      </c>
      <c r="C237" s="47">
        <f>'VaR Model'!$G$16</f>
        <v>-2.1486122599356419E-2</v>
      </c>
      <c r="D237">
        <f t="shared" si="6"/>
        <v>0</v>
      </c>
      <c r="E237" s="53">
        <f>'VaR Model'!$G$21</f>
        <v>-1.5036332051297405E-2</v>
      </c>
      <c r="F237">
        <f t="shared" si="7"/>
        <v>1</v>
      </c>
    </row>
    <row r="238" spans="1:6" x14ac:dyDescent="0.35">
      <c r="A238" s="2">
        <f>'VaR Model'!C238</f>
        <v>44911</v>
      </c>
      <c r="B238" s="48">
        <f>'VaR Model'!D238</f>
        <v>-1.1069190906067514E-2</v>
      </c>
      <c r="C238" s="47">
        <f>'VaR Model'!$G$16</f>
        <v>-2.1486122599356419E-2</v>
      </c>
      <c r="D238">
        <f t="shared" si="6"/>
        <v>0</v>
      </c>
      <c r="E238" s="53">
        <f>'VaR Model'!$G$21</f>
        <v>-1.5036332051297405E-2</v>
      </c>
      <c r="F238">
        <f t="shared" si="7"/>
        <v>0</v>
      </c>
    </row>
    <row r="239" spans="1:6" x14ac:dyDescent="0.35">
      <c r="A239" s="2">
        <f>'VaR Model'!C239</f>
        <v>44914</v>
      </c>
      <c r="B239" s="48">
        <f>'VaR Model'!D239</f>
        <v>-8.6452284179210359E-3</v>
      </c>
      <c r="C239" s="47">
        <f>'VaR Model'!$G$16</f>
        <v>-2.1486122599356419E-2</v>
      </c>
      <c r="D239">
        <f t="shared" si="6"/>
        <v>0</v>
      </c>
      <c r="E239" s="53">
        <f>'VaR Model'!$G$21</f>
        <v>-1.5036332051297405E-2</v>
      </c>
      <c r="F239">
        <f t="shared" si="7"/>
        <v>0</v>
      </c>
    </row>
    <row r="240" spans="1:6" x14ac:dyDescent="0.35">
      <c r="A240" s="2">
        <f>'VaR Model'!C240</f>
        <v>44915</v>
      </c>
      <c r="B240" s="48">
        <f>'VaR Model'!D240</f>
        <v>4.832508264683435E-3</v>
      </c>
      <c r="C240" s="47">
        <f>'VaR Model'!$G$16</f>
        <v>-2.1486122599356419E-2</v>
      </c>
      <c r="D240">
        <f t="shared" si="6"/>
        <v>0</v>
      </c>
      <c r="E240" s="53">
        <f>'VaR Model'!$G$21</f>
        <v>-1.5036332051297405E-2</v>
      </c>
      <c r="F240">
        <f t="shared" si="7"/>
        <v>0</v>
      </c>
    </row>
    <row r="241" spans="1:6" x14ac:dyDescent="0.35">
      <c r="A241" s="2">
        <f>'VaR Model'!C241</f>
        <v>44916</v>
      </c>
      <c r="B241" s="48">
        <f>'VaR Model'!D241</f>
        <v>-7.8969627505804559E-3</v>
      </c>
      <c r="C241" s="47">
        <f>'VaR Model'!$G$16</f>
        <v>-2.1486122599356419E-2</v>
      </c>
      <c r="D241">
        <f t="shared" si="6"/>
        <v>0</v>
      </c>
      <c r="E241" s="53">
        <f>'VaR Model'!$G$21</f>
        <v>-1.5036332051297405E-2</v>
      </c>
      <c r="F241">
        <f t="shared" si="7"/>
        <v>0</v>
      </c>
    </row>
    <row r="242" spans="1:6" x14ac:dyDescent="0.35">
      <c r="A242" s="2">
        <f>'VaR Model'!C242</f>
        <v>44917</v>
      </c>
      <c r="B242" s="48">
        <f>'VaR Model'!D242</f>
        <v>-1.3828365493440014E-3</v>
      </c>
      <c r="C242" s="47">
        <f>'VaR Model'!$G$16</f>
        <v>-2.1486122599356419E-2</v>
      </c>
      <c r="D242">
        <f t="shared" si="6"/>
        <v>0</v>
      </c>
      <c r="E242" s="53">
        <f>'VaR Model'!$G$21</f>
        <v>-1.5036332051297405E-2</v>
      </c>
      <c r="F242">
        <f t="shared" si="7"/>
        <v>0</v>
      </c>
    </row>
    <row r="243" spans="1:6" x14ac:dyDescent="0.35">
      <c r="A243" s="2">
        <f>'VaR Model'!C243</f>
        <v>44918</v>
      </c>
      <c r="B243" s="48">
        <f>'VaR Model'!D243</f>
        <v>-1.7340287351125319E-2</v>
      </c>
      <c r="C243" s="47">
        <f>'VaR Model'!$G$16</f>
        <v>-2.1486122599356419E-2</v>
      </c>
      <c r="D243">
        <f t="shared" si="6"/>
        <v>0</v>
      </c>
      <c r="E243" s="53">
        <f>'VaR Model'!$G$21</f>
        <v>-1.5036332051297405E-2</v>
      </c>
      <c r="F243">
        <f t="shared" si="7"/>
        <v>1</v>
      </c>
    </row>
    <row r="244" spans="1:6" x14ac:dyDescent="0.35">
      <c r="A244" s="2">
        <f>'VaR Model'!C244</f>
        <v>44921</v>
      </c>
      <c r="B244" s="48">
        <f>'VaR Model'!D244</f>
        <v>1.1968972296523096E-2</v>
      </c>
      <c r="C244" s="47">
        <f>'VaR Model'!$G$16</f>
        <v>-2.1486122599356419E-2</v>
      </c>
      <c r="D244">
        <f t="shared" si="6"/>
        <v>0</v>
      </c>
      <c r="E244" s="53">
        <f>'VaR Model'!$G$21</f>
        <v>-1.5036332051297405E-2</v>
      </c>
      <c r="F244">
        <f t="shared" si="7"/>
        <v>0</v>
      </c>
    </row>
    <row r="245" spans="1:6" x14ac:dyDescent="0.35">
      <c r="A245" s="2">
        <f>'VaR Model'!C245</f>
        <v>44922</v>
      </c>
      <c r="B245" s="48">
        <f>'VaR Model'!D245</f>
        <v>4.4732887896253275E-3</v>
      </c>
      <c r="C245" s="47">
        <f>'VaR Model'!$G$16</f>
        <v>-2.1486122599356419E-2</v>
      </c>
      <c r="D245">
        <f t="shared" si="6"/>
        <v>0</v>
      </c>
      <c r="E245" s="53">
        <f>'VaR Model'!$G$21</f>
        <v>-1.5036332051297405E-2</v>
      </c>
      <c r="F245">
        <f t="shared" si="7"/>
        <v>0</v>
      </c>
    </row>
    <row r="246" spans="1:6" x14ac:dyDescent="0.35">
      <c r="A246" s="2">
        <f>'VaR Model'!C246</f>
        <v>44923</v>
      </c>
      <c r="B246" s="48">
        <f>'VaR Model'!D246</f>
        <v>-4.131067169196596E-4</v>
      </c>
      <c r="C246" s="47">
        <f>'VaR Model'!$G$16</f>
        <v>-2.1486122599356419E-2</v>
      </c>
      <c r="D246">
        <f t="shared" si="6"/>
        <v>0</v>
      </c>
      <c r="E246" s="53">
        <f>'VaR Model'!$G$21</f>
        <v>-1.5036332051297405E-2</v>
      </c>
      <c r="F246">
        <f t="shared" si="7"/>
        <v>0</v>
      </c>
    </row>
    <row r="247" spans="1:6" x14ac:dyDescent="0.35">
      <c r="A247" s="2">
        <f>'VaR Model'!C247</f>
        <v>44924</v>
      </c>
      <c r="B247" s="48">
        <f>'VaR Model'!D247</f>
        <v>4.1818490414450016E-3</v>
      </c>
      <c r="C247" s="47">
        <f>'VaR Model'!$G$16</f>
        <v>-2.1486122599356419E-2</v>
      </c>
      <c r="D247">
        <f t="shared" si="6"/>
        <v>0</v>
      </c>
      <c r="E247" s="53">
        <f>'VaR Model'!$G$21</f>
        <v>-1.5036332051297405E-2</v>
      </c>
      <c r="F247">
        <f t="shared" si="7"/>
        <v>0</v>
      </c>
    </row>
    <row r="248" spans="1:6" x14ac:dyDescent="0.35">
      <c r="A248" s="2">
        <f>'VaR Model'!C248</f>
        <v>44925</v>
      </c>
      <c r="B248" s="48">
        <f>'VaR Model'!D248</f>
        <v>-7.7709640689340486E-3</v>
      </c>
      <c r="C248" s="47">
        <f>'VaR Model'!$G$16</f>
        <v>-2.1486122599356419E-2</v>
      </c>
      <c r="D248">
        <f t="shared" si="6"/>
        <v>0</v>
      </c>
      <c r="E248" s="53">
        <f>'VaR Model'!$G$21</f>
        <v>-1.5036332051297405E-2</v>
      </c>
      <c r="F248">
        <f t="shared" si="7"/>
        <v>0</v>
      </c>
    </row>
    <row r="249" spans="1:6" x14ac:dyDescent="0.35">
      <c r="A249" s="2">
        <f>'VaR Model'!C249</f>
        <v>44928</v>
      </c>
      <c r="B249" s="48">
        <f>'VaR Model'!D249</f>
        <v>7.9852263128127599E-3</v>
      </c>
      <c r="C249" s="47">
        <f>'VaR Model'!$G$16</f>
        <v>-2.1486122599356419E-2</v>
      </c>
      <c r="D249">
        <f t="shared" si="6"/>
        <v>0</v>
      </c>
      <c r="E249" s="53">
        <f>'VaR Model'!$G$21</f>
        <v>-1.5036332051297405E-2</v>
      </c>
      <c r="F249">
        <f t="shared" si="7"/>
        <v>0</v>
      </c>
    </row>
    <row r="250" spans="1:6" x14ac:dyDescent="0.35">
      <c r="A250" s="2">
        <f>'VaR Model'!C250</f>
        <v>44929</v>
      </c>
      <c r="B250" s="48">
        <f>'VaR Model'!D250</f>
        <v>8.2766431466581173E-5</v>
      </c>
      <c r="C250" s="47">
        <f>'VaR Model'!$G$16</f>
        <v>-2.1486122599356419E-2</v>
      </c>
      <c r="D250">
        <f t="shared" si="6"/>
        <v>0</v>
      </c>
      <c r="E250" s="53">
        <f>'VaR Model'!$G$21</f>
        <v>-1.5036332051297405E-2</v>
      </c>
      <c r="F250">
        <f t="shared" si="7"/>
        <v>0</v>
      </c>
    </row>
    <row r="251" spans="1:6" x14ac:dyDescent="0.35">
      <c r="A251" s="2">
        <f>'VaR Model'!C251</f>
        <v>44930</v>
      </c>
      <c r="B251" s="48">
        <f>'VaR Model'!D251</f>
        <v>-9.5103761087030926E-3</v>
      </c>
      <c r="C251" s="47">
        <f>'VaR Model'!$G$16</f>
        <v>-2.1486122599356419E-2</v>
      </c>
      <c r="D251">
        <f t="shared" si="6"/>
        <v>0</v>
      </c>
      <c r="E251" s="53">
        <f>'VaR Model'!$G$21</f>
        <v>-1.5036332051297405E-2</v>
      </c>
      <c r="F251">
        <f t="shared" si="7"/>
        <v>0</v>
      </c>
    </row>
    <row r="252" spans="1:6" x14ac:dyDescent="0.35">
      <c r="A252" s="2">
        <f>'VaR Model'!C252</f>
        <v>44931</v>
      </c>
      <c r="B252" s="48">
        <f>'VaR Model'!D252</f>
        <v>-3.7892811982743477E-3</v>
      </c>
      <c r="C252" s="47">
        <f>'VaR Model'!$G$16</f>
        <v>-2.1486122599356419E-2</v>
      </c>
      <c r="D252">
        <f t="shared" si="6"/>
        <v>0</v>
      </c>
      <c r="E252" s="53">
        <f>'VaR Model'!$G$21</f>
        <v>-1.5036332051297405E-2</v>
      </c>
      <c r="F252">
        <f t="shared" si="7"/>
        <v>0</v>
      </c>
    </row>
    <row r="253" spans="1:6" x14ac:dyDescent="0.35">
      <c r="A253" s="2">
        <f>'VaR Model'!C253</f>
        <v>44932</v>
      </c>
      <c r="B253" s="48">
        <f>'VaR Model'!D253</f>
        <v>-9.0638039922522444E-3</v>
      </c>
      <c r="C253" s="47">
        <f>'VaR Model'!$G$16</f>
        <v>-2.1486122599356419E-2</v>
      </c>
      <c r="D253">
        <f t="shared" si="6"/>
        <v>0</v>
      </c>
      <c r="E253" s="53">
        <f>'VaR Model'!$G$21</f>
        <v>-1.5036332051297405E-2</v>
      </c>
      <c r="F253">
        <f t="shared" si="7"/>
        <v>0</v>
      </c>
    </row>
    <row r="254" spans="1:6" x14ac:dyDescent="0.35">
      <c r="A254" s="2">
        <f>'VaR Model'!C254</f>
        <v>44935</v>
      </c>
      <c r="B254" s="48">
        <f>'VaR Model'!D254</f>
        <v>1.873811637325546E-2</v>
      </c>
      <c r="C254" s="47">
        <f>'VaR Model'!$G$16</f>
        <v>-2.1486122599356419E-2</v>
      </c>
      <c r="D254">
        <f t="shared" si="6"/>
        <v>0</v>
      </c>
      <c r="E254" s="53">
        <f>'VaR Model'!$G$21</f>
        <v>-1.5036332051297405E-2</v>
      </c>
      <c r="F254">
        <f t="shared" si="7"/>
        <v>0</v>
      </c>
    </row>
    <row r="255" spans="1:6" x14ac:dyDescent="0.35">
      <c r="A255" s="2">
        <f>'VaR Model'!C255</f>
        <v>44936</v>
      </c>
      <c r="B255" s="48">
        <f>'VaR Model'!D255</f>
        <v>-1.253739649388037E-2</v>
      </c>
      <c r="C255" s="47">
        <f>'VaR Model'!$G$16</f>
        <v>-2.1486122599356419E-2</v>
      </c>
      <c r="D255">
        <f t="shared" si="6"/>
        <v>0</v>
      </c>
      <c r="E255" s="53">
        <f>'VaR Model'!$G$21</f>
        <v>-1.5036332051297405E-2</v>
      </c>
      <c r="F255">
        <f t="shared" si="7"/>
        <v>0</v>
      </c>
    </row>
    <row r="256" spans="1:6" x14ac:dyDescent="0.35">
      <c r="A256" s="2">
        <f>'VaR Model'!C256</f>
        <v>44937</v>
      </c>
      <c r="B256" s="48">
        <f>'VaR Model'!D256</f>
        <v>4.0548345681912083E-4</v>
      </c>
      <c r="C256" s="47">
        <f>'VaR Model'!$G$16</f>
        <v>-2.1486122599356419E-2</v>
      </c>
      <c r="D256">
        <f t="shared" si="6"/>
        <v>0</v>
      </c>
      <c r="E256" s="53">
        <f>'VaR Model'!$G$21</f>
        <v>-1.5036332051297405E-2</v>
      </c>
      <c r="F256">
        <f t="shared" si="7"/>
        <v>0</v>
      </c>
    </row>
    <row r="257" spans="1:6" x14ac:dyDescent="0.35">
      <c r="A257" s="2">
        <f>'VaR Model'!C257</f>
        <v>44938</v>
      </c>
      <c r="B257" s="48">
        <f>'VaR Model'!D257</f>
        <v>-5.245546935595276E-3</v>
      </c>
      <c r="C257" s="47">
        <f>'VaR Model'!$G$16</f>
        <v>-2.1486122599356419E-2</v>
      </c>
      <c r="D257">
        <f t="shared" si="6"/>
        <v>0</v>
      </c>
      <c r="E257" s="53">
        <f>'VaR Model'!$G$21</f>
        <v>-1.5036332051297405E-2</v>
      </c>
      <c r="F257">
        <f t="shared" si="7"/>
        <v>0</v>
      </c>
    </row>
    <row r="258" spans="1:6" x14ac:dyDescent="0.35">
      <c r="A258" s="2">
        <f>'VaR Model'!C258</f>
        <v>44939</v>
      </c>
      <c r="B258" s="48">
        <f>'VaR Model'!D258</f>
        <v>7.4506755881513431E-3</v>
      </c>
      <c r="C258" s="47">
        <f>'VaR Model'!$G$16</f>
        <v>-2.1486122599356419E-2</v>
      </c>
      <c r="D258">
        <f t="shared" si="6"/>
        <v>0</v>
      </c>
      <c r="E258" s="53">
        <f>'VaR Model'!$G$21</f>
        <v>-1.5036332051297405E-2</v>
      </c>
      <c r="F258">
        <f t="shared" si="7"/>
        <v>0</v>
      </c>
    </row>
    <row r="259" spans="1:6" x14ac:dyDescent="0.35">
      <c r="A259" s="2">
        <f>'VaR Model'!C259</f>
        <v>44942</v>
      </c>
      <c r="B259" s="48">
        <f>'VaR Model'!D259</f>
        <v>1.558493607736842E-3</v>
      </c>
      <c r="C259" s="47">
        <f>'VaR Model'!$G$16</f>
        <v>-2.1486122599356419E-2</v>
      </c>
      <c r="D259">
        <f t="shared" ref="D259:D322" si="8">IF(B259&lt;C259,1,0)</f>
        <v>0</v>
      </c>
      <c r="E259" s="53">
        <f>'VaR Model'!$G$21</f>
        <v>-1.5036332051297405E-2</v>
      </c>
      <c r="F259">
        <f t="shared" ref="F259:F322" si="9">IF(B259&lt;E259,1,0)</f>
        <v>0</v>
      </c>
    </row>
    <row r="260" spans="1:6" x14ac:dyDescent="0.35">
      <c r="A260" s="2">
        <f>'VaR Model'!C260</f>
        <v>44943</v>
      </c>
      <c r="B260" s="48">
        <f>'VaR Model'!D260</f>
        <v>8.5056855291694381E-3</v>
      </c>
      <c r="C260" s="47">
        <f>'VaR Model'!$G$16</f>
        <v>-2.1486122599356419E-2</v>
      </c>
      <c r="D260">
        <f t="shared" si="8"/>
        <v>0</v>
      </c>
      <c r="E260" s="53">
        <f>'VaR Model'!$G$21</f>
        <v>-1.5036332051297405E-2</v>
      </c>
      <c r="F260">
        <f t="shared" si="9"/>
        <v>0</v>
      </c>
    </row>
    <row r="261" spans="1:6" x14ac:dyDescent="0.35">
      <c r="A261" s="2">
        <f>'VaR Model'!C261</f>
        <v>44944</v>
      </c>
      <c r="B261" s="48">
        <f>'VaR Model'!D261</f>
        <v>3.5581204983450073E-3</v>
      </c>
      <c r="C261" s="47">
        <f>'VaR Model'!$G$16</f>
        <v>-2.1486122599356419E-2</v>
      </c>
      <c r="D261">
        <f t="shared" si="8"/>
        <v>0</v>
      </c>
      <c r="E261" s="53">
        <f>'VaR Model'!$G$21</f>
        <v>-1.5036332051297405E-2</v>
      </c>
      <c r="F261">
        <f t="shared" si="9"/>
        <v>0</v>
      </c>
    </row>
    <row r="262" spans="1:6" x14ac:dyDescent="0.35">
      <c r="A262" s="2">
        <f>'VaR Model'!C262</f>
        <v>44945</v>
      </c>
      <c r="B262" s="48">
        <f>'VaR Model'!D262</f>
        <v>-4.3271213793046204E-3</v>
      </c>
      <c r="C262" s="47">
        <f>'VaR Model'!$G$16</f>
        <v>-2.1486122599356419E-2</v>
      </c>
      <c r="D262">
        <f t="shared" si="8"/>
        <v>0</v>
      </c>
      <c r="E262" s="53">
        <f>'VaR Model'!$G$21</f>
        <v>-1.5036332051297405E-2</v>
      </c>
      <c r="F262">
        <f t="shared" si="9"/>
        <v>0</v>
      </c>
    </row>
    <row r="263" spans="1:6" x14ac:dyDescent="0.35">
      <c r="A263" s="2">
        <f>'VaR Model'!C263</f>
        <v>44946</v>
      </c>
      <c r="B263" s="48">
        <f>'VaR Model'!D263</f>
        <v>-2.2890152949827706E-3</v>
      </c>
      <c r="C263" s="47">
        <f>'VaR Model'!$G$16</f>
        <v>-2.1486122599356419E-2</v>
      </c>
      <c r="D263">
        <f t="shared" si="8"/>
        <v>0</v>
      </c>
      <c r="E263" s="53">
        <f>'VaR Model'!$G$21</f>
        <v>-1.5036332051297405E-2</v>
      </c>
      <c r="F263">
        <f t="shared" si="9"/>
        <v>0</v>
      </c>
    </row>
    <row r="264" spans="1:6" x14ac:dyDescent="0.35">
      <c r="A264" s="2">
        <f>'VaR Model'!C264</f>
        <v>44949</v>
      </c>
      <c r="B264" s="48">
        <f>'VaR Model'!D264</f>
        <v>7.1466097525535186E-3</v>
      </c>
      <c r="C264" s="47">
        <f>'VaR Model'!$G$16</f>
        <v>-2.1486122599356419E-2</v>
      </c>
      <c r="D264">
        <f t="shared" si="8"/>
        <v>0</v>
      </c>
      <c r="E264" s="53">
        <f>'VaR Model'!$G$21</f>
        <v>-1.5036332051297405E-2</v>
      </c>
      <c r="F264">
        <f t="shared" si="9"/>
        <v>0</v>
      </c>
    </row>
    <row r="265" spans="1:6" x14ac:dyDescent="0.35">
      <c r="A265" s="2">
        <f>'VaR Model'!C265</f>
        <v>44950</v>
      </c>
      <c r="B265" s="48">
        <f>'VaR Model'!D265</f>
        <v>1.0614376673227953E-3</v>
      </c>
      <c r="C265" s="47">
        <f>'VaR Model'!$G$16</f>
        <v>-2.1486122599356419E-2</v>
      </c>
      <c r="D265">
        <f t="shared" si="8"/>
        <v>0</v>
      </c>
      <c r="E265" s="53">
        <f>'VaR Model'!$G$21</f>
        <v>-1.5036332051297405E-2</v>
      </c>
      <c r="F265">
        <f t="shared" si="9"/>
        <v>0</v>
      </c>
    </row>
    <row r="266" spans="1:6" x14ac:dyDescent="0.35">
      <c r="A266" s="2">
        <f>'VaR Model'!C266</f>
        <v>44951</v>
      </c>
      <c r="B266" s="48">
        <f>'VaR Model'!D266</f>
        <v>-7.7207723018864402E-3</v>
      </c>
      <c r="C266" s="47">
        <f>'VaR Model'!$G$16</f>
        <v>-2.1486122599356419E-2</v>
      </c>
      <c r="D266">
        <f t="shared" si="8"/>
        <v>0</v>
      </c>
      <c r="E266" s="53">
        <f>'VaR Model'!$G$21</f>
        <v>-1.5036332051297405E-2</v>
      </c>
      <c r="F266">
        <f t="shared" si="9"/>
        <v>0</v>
      </c>
    </row>
    <row r="267" spans="1:6" x14ac:dyDescent="0.35">
      <c r="A267" s="2">
        <f>'VaR Model'!C267</f>
        <v>44953</v>
      </c>
      <c r="B267" s="48">
        <f>'VaR Model'!D267</f>
        <v>-1.3210297022492507E-2</v>
      </c>
      <c r="C267" s="47">
        <f>'VaR Model'!$G$16</f>
        <v>-2.1486122599356419E-2</v>
      </c>
      <c r="D267">
        <f t="shared" si="8"/>
        <v>0</v>
      </c>
      <c r="E267" s="53">
        <f>'VaR Model'!$G$21</f>
        <v>-1.5036332051297405E-2</v>
      </c>
      <c r="F267">
        <f t="shared" si="9"/>
        <v>0</v>
      </c>
    </row>
    <row r="268" spans="1:6" x14ac:dyDescent="0.35">
      <c r="A268" s="2">
        <f>'VaR Model'!C268</f>
        <v>44956</v>
      </c>
      <c r="B268" s="48">
        <f>'VaR Model'!D268</f>
        <v>6.6387663269636748E-3</v>
      </c>
      <c r="C268" s="47">
        <f>'VaR Model'!$G$16</f>
        <v>-2.1486122599356419E-2</v>
      </c>
      <c r="D268">
        <f t="shared" si="8"/>
        <v>0</v>
      </c>
      <c r="E268" s="53">
        <f>'VaR Model'!$G$21</f>
        <v>-1.5036332051297405E-2</v>
      </c>
      <c r="F268">
        <f t="shared" si="9"/>
        <v>0</v>
      </c>
    </row>
    <row r="269" spans="1:6" x14ac:dyDescent="0.35">
      <c r="A269" s="2">
        <f>'VaR Model'!C269</f>
        <v>44957</v>
      </c>
      <c r="B269" s="48">
        <f>'VaR Model'!D269</f>
        <v>7.9066647185736805E-4</v>
      </c>
      <c r="C269" s="47">
        <f>'VaR Model'!$G$16</f>
        <v>-2.1486122599356419E-2</v>
      </c>
      <c r="D269">
        <f t="shared" si="8"/>
        <v>0</v>
      </c>
      <c r="E269" s="53">
        <f>'VaR Model'!$G$21</f>
        <v>-1.5036332051297405E-2</v>
      </c>
      <c r="F269">
        <f t="shared" si="9"/>
        <v>0</v>
      </c>
    </row>
    <row r="270" spans="1:6" x14ac:dyDescent="0.35">
      <c r="A270" s="2">
        <f>'VaR Model'!C270</f>
        <v>44958</v>
      </c>
      <c r="B270" s="48">
        <f>'VaR Model'!D270</f>
        <v>1.2890281442071612E-2</v>
      </c>
      <c r="C270" s="47">
        <f>'VaR Model'!$G$16</f>
        <v>-2.1486122599356419E-2</v>
      </c>
      <c r="D270">
        <f t="shared" si="8"/>
        <v>0</v>
      </c>
      <c r="E270" s="53">
        <f>'VaR Model'!$G$21</f>
        <v>-1.5036332051297405E-2</v>
      </c>
      <c r="F270">
        <f t="shared" si="9"/>
        <v>0</v>
      </c>
    </row>
    <row r="271" spans="1:6" x14ac:dyDescent="0.35">
      <c r="A271" s="2">
        <f>'VaR Model'!C271</f>
        <v>44959</v>
      </c>
      <c r="B271" s="48">
        <f>'VaR Model'!D271</f>
        <v>1.7718530696038182E-2</v>
      </c>
      <c r="C271" s="47">
        <f>'VaR Model'!$G$16</f>
        <v>-2.1486122599356419E-2</v>
      </c>
      <c r="D271">
        <f t="shared" si="8"/>
        <v>0</v>
      </c>
      <c r="E271" s="53">
        <f>'VaR Model'!$G$21</f>
        <v>-1.5036332051297405E-2</v>
      </c>
      <c r="F271">
        <f t="shared" si="9"/>
        <v>0</v>
      </c>
    </row>
    <row r="272" spans="1:6" x14ac:dyDescent="0.35">
      <c r="A272" s="2">
        <f>'VaR Model'!C272</f>
        <v>44960</v>
      </c>
      <c r="B272" s="48">
        <f>'VaR Model'!D272</f>
        <v>5.8507462037771484E-3</v>
      </c>
      <c r="C272" s="47">
        <f>'VaR Model'!$G$16</f>
        <v>-2.1486122599356419E-2</v>
      </c>
      <c r="D272">
        <f t="shared" si="8"/>
        <v>0</v>
      </c>
      <c r="E272" s="53">
        <f>'VaR Model'!$G$21</f>
        <v>-1.5036332051297405E-2</v>
      </c>
      <c r="F272">
        <f t="shared" si="9"/>
        <v>0</v>
      </c>
    </row>
    <row r="273" spans="1:6" x14ac:dyDescent="0.35">
      <c r="A273" s="2">
        <f>'VaR Model'!C273</f>
        <v>44963</v>
      </c>
      <c r="B273" s="48">
        <f>'VaR Model'!D273</f>
        <v>-7.440042676330358E-3</v>
      </c>
      <c r="C273" s="47">
        <f>'VaR Model'!$G$16</f>
        <v>-2.1486122599356419E-2</v>
      </c>
      <c r="D273">
        <f t="shared" si="8"/>
        <v>0</v>
      </c>
      <c r="E273" s="53">
        <f>'VaR Model'!$G$21</f>
        <v>-1.5036332051297405E-2</v>
      </c>
      <c r="F273">
        <f t="shared" si="9"/>
        <v>0</v>
      </c>
    </row>
    <row r="274" spans="1:6" x14ac:dyDescent="0.35">
      <c r="A274" s="2">
        <f>'VaR Model'!C274</f>
        <v>44964</v>
      </c>
      <c r="B274" s="48">
        <f>'VaR Model'!D274</f>
        <v>-6.2925704216892026E-3</v>
      </c>
      <c r="C274" s="47">
        <f>'VaR Model'!$G$16</f>
        <v>-2.1486122599356419E-2</v>
      </c>
      <c r="D274">
        <f t="shared" si="8"/>
        <v>0</v>
      </c>
      <c r="E274" s="53">
        <f>'VaR Model'!$G$21</f>
        <v>-1.5036332051297405E-2</v>
      </c>
      <c r="F274">
        <f t="shared" si="9"/>
        <v>0</v>
      </c>
    </row>
    <row r="275" spans="1:6" x14ac:dyDescent="0.35">
      <c r="A275" s="2">
        <f>'VaR Model'!C275</f>
        <v>44965</v>
      </c>
      <c r="B275" s="48">
        <f>'VaR Model'!D275</f>
        <v>1.2951095349784834E-2</v>
      </c>
      <c r="C275" s="47">
        <f>'VaR Model'!$G$16</f>
        <v>-2.1486122599356419E-2</v>
      </c>
      <c r="D275">
        <f t="shared" si="8"/>
        <v>0</v>
      </c>
      <c r="E275" s="53">
        <f>'VaR Model'!$G$21</f>
        <v>-1.5036332051297405E-2</v>
      </c>
      <c r="F275">
        <f t="shared" si="9"/>
        <v>0</v>
      </c>
    </row>
    <row r="276" spans="1:6" x14ac:dyDescent="0.35">
      <c r="A276" s="2">
        <f>'VaR Model'!C276</f>
        <v>44966</v>
      </c>
      <c r="B276" s="48">
        <f>'VaR Model'!D276</f>
        <v>4.5317335194173308E-3</v>
      </c>
      <c r="C276" s="47">
        <f>'VaR Model'!$G$16</f>
        <v>-2.1486122599356419E-2</v>
      </c>
      <c r="D276">
        <f t="shared" si="8"/>
        <v>0</v>
      </c>
      <c r="E276" s="53">
        <f>'VaR Model'!$G$21</f>
        <v>-1.5036332051297405E-2</v>
      </c>
      <c r="F276">
        <f t="shared" si="9"/>
        <v>0</v>
      </c>
    </row>
    <row r="277" spans="1:6" x14ac:dyDescent="0.35">
      <c r="A277" s="2">
        <f>'VaR Model'!C277</f>
        <v>44967</v>
      </c>
      <c r="B277" s="48">
        <f>'VaR Model'!D277</f>
        <v>-6.0671648957093052E-3</v>
      </c>
      <c r="C277" s="47">
        <f>'VaR Model'!$G$16</f>
        <v>-2.1486122599356419E-2</v>
      </c>
      <c r="D277">
        <f t="shared" si="8"/>
        <v>0</v>
      </c>
      <c r="E277" s="53">
        <f>'VaR Model'!$G$21</f>
        <v>-1.5036332051297405E-2</v>
      </c>
      <c r="F277">
        <f t="shared" si="9"/>
        <v>0</v>
      </c>
    </row>
    <row r="278" spans="1:6" x14ac:dyDescent="0.35">
      <c r="A278" s="2">
        <f>'VaR Model'!C278</f>
        <v>44970</v>
      </c>
      <c r="B278" s="48">
        <f>'VaR Model'!D278</f>
        <v>-8.6813431962485844E-3</v>
      </c>
      <c r="C278" s="47">
        <f>'VaR Model'!$G$16</f>
        <v>-2.1486122599356419E-2</v>
      </c>
      <c r="D278">
        <f t="shared" si="8"/>
        <v>0</v>
      </c>
      <c r="E278" s="53">
        <f>'VaR Model'!$G$21</f>
        <v>-1.5036332051297405E-2</v>
      </c>
      <c r="F278">
        <f t="shared" si="9"/>
        <v>0</v>
      </c>
    </row>
    <row r="279" spans="1:6" x14ac:dyDescent="0.35">
      <c r="A279" s="2">
        <f>'VaR Model'!C279</f>
        <v>44971</v>
      </c>
      <c r="B279" s="48">
        <f>'VaR Model'!D279</f>
        <v>1.8795176667714984E-2</v>
      </c>
      <c r="C279" s="47">
        <f>'VaR Model'!$G$16</f>
        <v>-2.1486122599356419E-2</v>
      </c>
      <c r="D279">
        <f t="shared" si="8"/>
        <v>0</v>
      </c>
      <c r="E279" s="53">
        <f>'VaR Model'!$G$21</f>
        <v>-1.5036332051297405E-2</v>
      </c>
      <c r="F279">
        <f t="shared" si="9"/>
        <v>0</v>
      </c>
    </row>
    <row r="280" spans="1:6" x14ac:dyDescent="0.35">
      <c r="A280" s="2">
        <f>'VaR Model'!C280</f>
        <v>44972</v>
      </c>
      <c r="B280" s="48">
        <f>'VaR Model'!D280</f>
        <v>5.1779637404356154E-3</v>
      </c>
      <c r="C280" s="47">
        <f>'VaR Model'!$G$16</f>
        <v>-2.1486122599356419E-2</v>
      </c>
      <c r="D280">
        <f t="shared" si="8"/>
        <v>0</v>
      </c>
      <c r="E280" s="53">
        <f>'VaR Model'!$G$21</f>
        <v>-1.5036332051297405E-2</v>
      </c>
      <c r="F280">
        <f t="shared" si="9"/>
        <v>0</v>
      </c>
    </row>
    <row r="281" spans="1:6" x14ac:dyDescent="0.35">
      <c r="A281" s="2">
        <f>'VaR Model'!C281</f>
        <v>44973</v>
      </c>
      <c r="B281" s="48">
        <f>'VaR Model'!D281</f>
        <v>2.4244963420205143E-3</v>
      </c>
      <c r="C281" s="47">
        <f>'VaR Model'!$G$16</f>
        <v>-2.1486122599356419E-2</v>
      </c>
      <c r="D281">
        <f t="shared" si="8"/>
        <v>0</v>
      </c>
      <c r="E281" s="53">
        <f>'VaR Model'!$G$21</f>
        <v>-1.5036332051297405E-2</v>
      </c>
      <c r="F281">
        <f t="shared" si="9"/>
        <v>0</v>
      </c>
    </row>
    <row r="282" spans="1:6" x14ac:dyDescent="0.35">
      <c r="A282" s="2">
        <f>'VaR Model'!C282</f>
        <v>44974</v>
      </c>
      <c r="B282" s="48">
        <f>'VaR Model'!D282</f>
        <v>-5.7765841039752203E-3</v>
      </c>
      <c r="C282" s="47">
        <f>'VaR Model'!$G$16</f>
        <v>-2.1486122599356419E-2</v>
      </c>
      <c r="D282">
        <f t="shared" si="8"/>
        <v>0</v>
      </c>
      <c r="E282" s="53">
        <f>'VaR Model'!$G$21</f>
        <v>-1.5036332051297405E-2</v>
      </c>
      <c r="F282">
        <f t="shared" si="9"/>
        <v>0</v>
      </c>
    </row>
    <row r="283" spans="1:6" x14ac:dyDescent="0.35">
      <c r="A283" s="2">
        <f>'VaR Model'!C283</f>
        <v>44977</v>
      </c>
      <c r="B283" s="48">
        <f>'VaR Model'!D283</f>
        <v>-3.95043843464508E-3</v>
      </c>
      <c r="C283" s="47">
        <f>'VaR Model'!$G$16</f>
        <v>-2.1486122599356419E-2</v>
      </c>
      <c r="D283">
        <f t="shared" si="8"/>
        <v>0</v>
      </c>
      <c r="E283" s="53">
        <f>'VaR Model'!$G$21</f>
        <v>-1.5036332051297405E-2</v>
      </c>
      <c r="F283">
        <f t="shared" si="9"/>
        <v>0</v>
      </c>
    </row>
    <row r="284" spans="1:6" x14ac:dyDescent="0.35">
      <c r="A284" s="2">
        <f>'VaR Model'!C284</f>
        <v>44978</v>
      </c>
      <c r="B284" s="48">
        <f>'VaR Model'!D284</f>
        <v>-2.5477225803933754E-3</v>
      </c>
      <c r="C284" s="47">
        <f>'VaR Model'!$G$16</f>
        <v>-2.1486122599356419E-2</v>
      </c>
      <c r="D284">
        <f t="shared" si="8"/>
        <v>0</v>
      </c>
      <c r="E284" s="53">
        <f>'VaR Model'!$G$21</f>
        <v>-1.5036332051297405E-2</v>
      </c>
      <c r="F284">
        <f t="shared" si="9"/>
        <v>0</v>
      </c>
    </row>
    <row r="285" spans="1:6" x14ac:dyDescent="0.35">
      <c r="A285" s="2">
        <f>'VaR Model'!C285</f>
        <v>44979</v>
      </c>
      <c r="B285" s="48">
        <f>'VaR Model'!D285</f>
        <v>-1.2426922458096566E-2</v>
      </c>
      <c r="C285" s="47">
        <f>'VaR Model'!$G$16</f>
        <v>-2.1486122599356419E-2</v>
      </c>
      <c r="D285">
        <f t="shared" si="8"/>
        <v>0</v>
      </c>
      <c r="E285" s="53">
        <f>'VaR Model'!$G$21</f>
        <v>-1.5036332051297405E-2</v>
      </c>
      <c r="F285">
        <f t="shared" si="9"/>
        <v>0</v>
      </c>
    </row>
    <row r="286" spans="1:6" x14ac:dyDescent="0.35">
      <c r="A286" s="2">
        <f>'VaR Model'!C286</f>
        <v>44980</v>
      </c>
      <c r="B286" s="48">
        <f>'VaR Model'!D286</f>
        <v>3.9854711012739198E-4</v>
      </c>
      <c r="C286" s="47">
        <f>'VaR Model'!$G$16</f>
        <v>-2.1486122599356419E-2</v>
      </c>
      <c r="D286">
        <f t="shared" si="8"/>
        <v>0</v>
      </c>
      <c r="E286" s="53">
        <f>'VaR Model'!$G$21</f>
        <v>-1.5036332051297405E-2</v>
      </c>
      <c r="F286">
        <f t="shared" si="9"/>
        <v>0</v>
      </c>
    </row>
    <row r="287" spans="1:6" x14ac:dyDescent="0.35">
      <c r="A287" s="2">
        <f>'VaR Model'!C287</f>
        <v>44981</v>
      </c>
      <c r="B287" s="48">
        <f>'VaR Model'!D287</f>
        <v>-7.3280718948378026E-4</v>
      </c>
      <c r="C287" s="47">
        <f>'VaR Model'!$G$16</f>
        <v>-2.1486122599356419E-2</v>
      </c>
      <c r="D287">
        <f t="shared" si="8"/>
        <v>0</v>
      </c>
      <c r="E287" s="53">
        <f>'VaR Model'!$G$21</f>
        <v>-1.5036332051297405E-2</v>
      </c>
      <c r="F287">
        <f t="shared" si="9"/>
        <v>0</v>
      </c>
    </row>
    <row r="288" spans="1:6" x14ac:dyDescent="0.35">
      <c r="A288" s="2">
        <f>'VaR Model'!C288</f>
        <v>44984</v>
      </c>
      <c r="B288" s="48">
        <f>'VaR Model'!D288</f>
        <v>-8.3907840890107555E-3</v>
      </c>
      <c r="C288" s="47">
        <f>'VaR Model'!$G$16</f>
        <v>-2.1486122599356419E-2</v>
      </c>
      <c r="D288">
        <f t="shared" si="8"/>
        <v>0</v>
      </c>
      <c r="E288" s="53">
        <f>'VaR Model'!$G$21</f>
        <v>-1.5036332051297405E-2</v>
      </c>
      <c r="F288">
        <f t="shared" si="9"/>
        <v>0</v>
      </c>
    </row>
    <row r="289" spans="1:6" x14ac:dyDescent="0.35">
      <c r="A289" s="2">
        <f>'VaR Model'!C289</f>
        <v>44985</v>
      </c>
      <c r="B289" s="48">
        <f>'VaR Model'!D289</f>
        <v>-1.117225840165151E-2</v>
      </c>
      <c r="C289" s="47">
        <f>'VaR Model'!$G$16</f>
        <v>-2.1486122599356419E-2</v>
      </c>
      <c r="D289">
        <f t="shared" si="8"/>
        <v>0</v>
      </c>
      <c r="E289" s="53">
        <f>'VaR Model'!$G$21</f>
        <v>-1.5036332051297405E-2</v>
      </c>
      <c r="F289">
        <f t="shared" si="9"/>
        <v>0</v>
      </c>
    </row>
    <row r="290" spans="1:6" x14ac:dyDescent="0.35">
      <c r="A290" s="2">
        <f>'VaR Model'!C290</f>
        <v>44986</v>
      </c>
      <c r="B290" s="48">
        <f>'VaR Model'!D290</f>
        <v>8.7202001651914655E-3</v>
      </c>
      <c r="C290" s="47">
        <f>'VaR Model'!$G$16</f>
        <v>-2.1486122599356419E-2</v>
      </c>
      <c r="D290">
        <f t="shared" si="8"/>
        <v>0</v>
      </c>
      <c r="E290" s="53">
        <f>'VaR Model'!$G$21</f>
        <v>-1.5036332051297405E-2</v>
      </c>
      <c r="F290">
        <f t="shared" si="9"/>
        <v>0</v>
      </c>
    </row>
    <row r="291" spans="1:6" x14ac:dyDescent="0.35">
      <c r="A291" s="2">
        <f>'VaR Model'!C291</f>
        <v>44987</v>
      </c>
      <c r="B291" s="48">
        <f>'VaR Model'!D291</f>
        <v>-1.0790865578673182E-2</v>
      </c>
      <c r="C291" s="47">
        <f>'VaR Model'!$G$16</f>
        <v>-2.1486122599356419E-2</v>
      </c>
      <c r="D291">
        <f t="shared" si="8"/>
        <v>0</v>
      </c>
      <c r="E291" s="53">
        <f>'VaR Model'!$G$21</f>
        <v>-1.5036332051297405E-2</v>
      </c>
      <c r="F291">
        <f t="shared" si="9"/>
        <v>0</v>
      </c>
    </row>
    <row r="292" spans="1:6" x14ac:dyDescent="0.35">
      <c r="A292" s="2">
        <f>'VaR Model'!C292</f>
        <v>44988</v>
      </c>
      <c r="B292" s="48">
        <f>'VaR Model'!D292</f>
        <v>1.5575089001147395E-2</v>
      </c>
      <c r="C292" s="47">
        <f>'VaR Model'!$G$16</f>
        <v>-2.1486122599356419E-2</v>
      </c>
      <c r="D292">
        <f t="shared" si="8"/>
        <v>0</v>
      </c>
      <c r="E292" s="53">
        <f>'VaR Model'!$G$21</f>
        <v>-1.5036332051297405E-2</v>
      </c>
      <c r="F292">
        <f t="shared" si="9"/>
        <v>0</v>
      </c>
    </row>
    <row r="293" spans="1:6" x14ac:dyDescent="0.35">
      <c r="A293" s="2">
        <f>'VaR Model'!C293</f>
        <v>44991</v>
      </c>
      <c r="B293" s="48">
        <f>'VaR Model'!D293</f>
        <v>8.9558507031796374E-3</v>
      </c>
      <c r="C293" s="47">
        <f>'VaR Model'!$G$16</f>
        <v>-2.1486122599356419E-2</v>
      </c>
      <c r="D293">
        <f t="shared" si="8"/>
        <v>0</v>
      </c>
      <c r="E293" s="53">
        <f>'VaR Model'!$G$21</f>
        <v>-1.5036332051297405E-2</v>
      </c>
      <c r="F293">
        <f t="shared" si="9"/>
        <v>0</v>
      </c>
    </row>
    <row r="294" spans="1:6" x14ac:dyDescent="0.35">
      <c r="A294" s="2">
        <f>'VaR Model'!C294</f>
        <v>44993</v>
      </c>
      <c r="B294" s="48">
        <f>'VaR Model'!D294</f>
        <v>3.0224668214293444E-3</v>
      </c>
      <c r="C294" s="47">
        <f>'VaR Model'!$G$16</f>
        <v>-2.1486122599356419E-2</v>
      </c>
      <c r="D294">
        <f t="shared" si="8"/>
        <v>0</v>
      </c>
      <c r="E294" s="53">
        <f>'VaR Model'!$G$21</f>
        <v>-1.5036332051297405E-2</v>
      </c>
      <c r="F294">
        <f t="shared" si="9"/>
        <v>0</v>
      </c>
    </row>
    <row r="295" spans="1:6" x14ac:dyDescent="0.35">
      <c r="A295" s="2">
        <f>'VaR Model'!C295</f>
        <v>44994</v>
      </c>
      <c r="B295" s="48">
        <f>'VaR Model'!D295</f>
        <v>-1.595874337290798E-2</v>
      </c>
      <c r="C295" s="47">
        <f>'VaR Model'!$G$16</f>
        <v>-2.1486122599356419E-2</v>
      </c>
      <c r="D295">
        <f t="shared" si="8"/>
        <v>0</v>
      </c>
      <c r="E295" s="53">
        <f>'VaR Model'!$G$21</f>
        <v>-1.5036332051297405E-2</v>
      </c>
      <c r="F295">
        <f t="shared" si="9"/>
        <v>1</v>
      </c>
    </row>
    <row r="296" spans="1:6" x14ac:dyDescent="0.35">
      <c r="A296" s="2">
        <f>'VaR Model'!C296</f>
        <v>44995</v>
      </c>
      <c r="B296" s="48">
        <f>'VaR Model'!D296</f>
        <v>-7.5411357511938467E-3</v>
      </c>
      <c r="C296" s="47">
        <f>'VaR Model'!$G$16</f>
        <v>-2.1486122599356419E-2</v>
      </c>
      <c r="D296">
        <f t="shared" si="8"/>
        <v>0</v>
      </c>
      <c r="E296" s="53">
        <f>'VaR Model'!$G$21</f>
        <v>-1.5036332051297405E-2</v>
      </c>
      <c r="F296">
        <f t="shared" si="9"/>
        <v>0</v>
      </c>
    </row>
    <row r="297" spans="1:6" x14ac:dyDescent="0.35">
      <c r="A297" s="2">
        <f>'VaR Model'!C297</f>
        <v>44998</v>
      </c>
      <c r="B297" s="48">
        <f>'VaR Model'!D297</f>
        <v>-1.6965542478716122E-2</v>
      </c>
      <c r="C297" s="47">
        <f>'VaR Model'!$G$16</f>
        <v>-2.1486122599356419E-2</v>
      </c>
      <c r="D297">
        <f t="shared" si="8"/>
        <v>0</v>
      </c>
      <c r="E297" s="53">
        <f>'VaR Model'!$G$21</f>
        <v>-1.5036332051297405E-2</v>
      </c>
      <c r="F297">
        <f t="shared" si="9"/>
        <v>1</v>
      </c>
    </row>
    <row r="298" spans="1:6" x14ac:dyDescent="0.35">
      <c r="A298" s="2">
        <f>'VaR Model'!C298</f>
        <v>44999</v>
      </c>
      <c r="B298" s="48">
        <f>'VaR Model'!D298</f>
        <v>-8.5940487254909624E-3</v>
      </c>
      <c r="C298" s="47">
        <f>'VaR Model'!$G$16</f>
        <v>-2.1486122599356419E-2</v>
      </c>
      <c r="D298">
        <f t="shared" si="8"/>
        <v>0</v>
      </c>
      <c r="E298" s="53">
        <f>'VaR Model'!$G$21</f>
        <v>-1.5036332051297405E-2</v>
      </c>
      <c r="F298">
        <f t="shared" si="9"/>
        <v>0</v>
      </c>
    </row>
    <row r="299" spans="1:6" x14ac:dyDescent="0.35">
      <c r="A299" s="2">
        <f>'VaR Model'!C299</f>
        <v>45000</v>
      </c>
      <c r="B299" s="48">
        <f>'VaR Model'!D299</f>
        <v>-5.7301376254888167E-3</v>
      </c>
      <c r="C299" s="47">
        <f>'VaR Model'!$G$16</f>
        <v>-2.1486122599356419E-2</v>
      </c>
      <c r="D299">
        <f t="shared" si="8"/>
        <v>0</v>
      </c>
      <c r="E299" s="53">
        <f>'VaR Model'!$G$21</f>
        <v>-1.5036332051297405E-2</v>
      </c>
      <c r="F299">
        <f t="shared" si="9"/>
        <v>0</v>
      </c>
    </row>
    <row r="300" spans="1:6" x14ac:dyDescent="0.35">
      <c r="A300" s="2">
        <f>'VaR Model'!C300</f>
        <v>45001</v>
      </c>
      <c r="B300" s="48">
        <f>'VaR Model'!D300</f>
        <v>-3.4783917029618874E-3</v>
      </c>
      <c r="C300" s="47">
        <f>'VaR Model'!$G$16</f>
        <v>-2.1486122599356419E-2</v>
      </c>
      <c r="D300">
        <f t="shared" si="8"/>
        <v>0</v>
      </c>
      <c r="E300" s="53">
        <f>'VaR Model'!$G$21</f>
        <v>-1.5036332051297405E-2</v>
      </c>
      <c r="F300">
        <f t="shared" si="9"/>
        <v>0</v>
      </c>
    </row>
    <row r="301" spans="1:6" x14ac:dyDescent="0.35">
      <c r="A301" s="2">
        <f>'VaR Model'!C301</f>
        <v>45002</v>
      </c>
      <c r="B301" s="48">
        <f>'VaR Model'!D301</f>
        <v>1.5980627950379044E-3</v>
      </c>
      <c r="C301" s="47">
        <f>'VaR Model'!$G$16</f>
        <v>-2.1486122599356419E-2</v>
      </c>
      <c r="D301">
        <f t="shared" si="8"/>
        <v>0</v>
      </c>
      <c r="E301" s="53">
        <f>'VaR Model'!$G$21</f>
        <v>-1.5036332051297405E-2</v>
      </c>
      <c r="F301">
        <f t="shared" si="9"/>
        <v>0</v>
      </c>
    </row>
    <row r="302" spans="1:6" x14ac:dyDescent="0.35">
      <c r="A302" s="2">
        <f>'VaR Model'!C302</f>
        <v>45005</v>
      </c>
      <c r="B302" s="48">
        <f>'VaR Model'!D302</f>
        <v>-4.8956858277134181E-3</v>
      </c>
      <c r="C302" s="47">
        <f>'VaR Model'!$G$16</f>
        <v>-2.1486122599356419E-2</v>
      </c>
      <c r="D302">
        <f t="shared" si="8"/>
        <v>0</v>
      </c>
      <c r="E302" s="53">
        <f>'VaR Model'!$G$21</f>
        <v>-1.5036332051297405E-2</v>
      </c>
      <c r="F302">
        <f t="shared" si="9"/>
        <v>0</v>
      </c>
    </row>
    <row r="303" spans="1:6" x14ac:dyDescent="0.35">
      <c r="A303" s="2">
        <f>'VaR Model'!C303</f>
        <v>45006</v>
      </c>
      <c r="B303" s="48">
        <f>'VaR Model'!D303</f>
        <v>4.6886865827787125E-3</v>
      </c>
      <c r="C303" s="47">
        <f>'VaR Model'!$G$16</f>
        <v>-2.1486122599356419E-2</v>
      </c>
      <c r="D303">
        <f t="shared" si="8"/>
        <v>0</v>
      </c>
      <c r="E303" s="53">
        <f>'VaR Model'!$G$21</f>
        <v>-1.5036332051297405E-2</v>
      </c>
      <c r="F303">
        <f t="shared" si="9"/>
        <v>0</v>
      </c>
    </row>
    <row r="304" spans="1:6" x14ac:dyDescent="0.35">
      <c r="A304" s="2">
        <f>'VaR Model'!C304</f>
        <v>45007</v>
      </c>
      <c r="B304" s="48">
        <f>'VaR Model'!D304</f>
        <v>4.227769178033268E-3</v>
      </c>
      <c r="C304" s="47">
        <f>'VaR Model'!$G$16</f>
        <v>-2.1486122599356419E-2</v>
      </c>
      <c r="D304">
        <f t="shared" si="8"/>
        <v>0</v>
      </c>
      <c r="E304" s="53">
        <f>'VaR Model'!$G$21</f>
        <v>-1.5036332051297405E-2</v>
      </c>
      <c r="F304">
        <f t="shared" si="9"/>
        <v>0</v>
      </c>
    </row>
    <row r="305" spans="1:6" x14ac:dyDescent="0.35">
      <c r="A305" s="2">
        <f>'VaR Model'!C305</f>
        <v>45008</v>
      </c>
      <c r="B305" s="48">
        <f>'VaR Model'!D305</f>
        <v>-4.6487559439296446E-3</v>
      </c>
      <c r="C305" s="47">
        <f>'VaR Model'!$G$16</f>
        <v>-2.1486122599356419E-2</v>
      </c>
      <c r="D305">
        <f t="shared" si="8"/>
        <v>0</v>
      </c>
      <c r="E305" s="53">
        <f>'VaR Model'!$G$21</f>
        <v>-1.5036332051297405E-2</v>
      </c>
      <c r="F305">
        <f t="shared" si="9"/>
        <v>0</v>
      </c>
    </row>
    <row r="306" spans="1:6" x14ac:dyDescent="0.35">
      <c r="A306" s="2">
        <f>'VaR Model'!C306</f>
        <v>45009</v>
      </c>
      <c r="B306" s="48">
        <f>'VaR Model'!D306</f>
        <v>-5.1198166836444268E-3</v>
      </c>
      <c r="C306" s="47">
        <f>'VaR Model'!$G$16</f>
        <v>-2.1486122599356419E-2</v>
      </c>
      <c r="D306">
        <f t="shared" si="8"/>
        <v>0</v>
      </c>
      <c r="E306" s="53">
        <f>'VaR Model'!$G$21</f>
        <v>-1.5036332051297405E-2</v>
      </c>
      <c r="F306">
        <f t="shared" si="9"/>
        <v>0</v>
      </c>
    </row>
    <row r="307" spans="1:6" x14ac:dyDescent="0.35">
      <c r="A307" s="2">
        <f>'VaR Model'!C307</f>
        <v>45012</v>
      </c>
      <c r="B307" s="48">
        <f>'VaR Model'!D307</f>
        <v>4.3209512859138551E-3</v>
      </c>
      <c r="C307" s="47">
        <f>'VaR Model'!$G$16</f>
        <v>-2.1486122599356419E-2</v>
      </c>
      <c r="D307">
        <f t="shared" si="8"/>
        <v>0</v>
      </c>
      <c r="E307" s="53">
        <f>'VaR Model'!$G$21</f>
        <v>-1.5036332051297405E-2</v>
      </c>
      <c r="F307">
        <f t="shared" si="9"/>
        <v>0</v>
      </c>
    </row>
    <row r="308" spans="1:6" x14ac:dyDescent="0.35">
      <c r="A308" s="2">
        <f>'VaR Model'!C308</f>
        <v>45013</v>
      </c>
      <c r="B308" s="48">
        <f>'VaR Model'!D308</f>
        <v>6.4805897264437907E-5</v>
      </c>
      <c r="C308" s="47">
        <f>'VaR Model'!$G$16</f>
        <v>-2.1486122599356419E-2</v>
      </c>
      <c r="D308">
        <f t="shared" si="8"/>
        <v>0</v>
      </c>
      <c r="E308" s="53">
        <f>'VaR Model'!$G$21</f>
        <v>-1.5036332051297405E-2</v>
      </c>
      <c r="F308">
        <f t="shared" si="9"/>
        <v>0</v>
      </c>
    </row>
    <row r="309" spans="1:6" x14ac:dyDescent="0.35">
      <c r="A309" s="2">
        <f>'VaR Model'!C309</f>
        <v>45014</v>
      </c>
      <c r="B309" s="48">
        <f>'VaR Model'!D309</f>
        <v>1.8417375960220108E-3</v>
      </c>
      <c r="C309" s="47">
        <f>'VaR Model'!$G$16</f>
        <v>-2.1486122599356419E-2</v>
      </c>
      <c r="D309">
        <f t="shared" si="8"/>
        <v>0</v>
      </c>
      <c r="E309" s="53">
        <f>'VaR Model'!$G$21</f>
        <v>-1.5036332051297405E-2</v>
      </c>
      <c r="F309">
        <f t="shared" si="9"/>
        <v>0</v>
      </c>
    </row>
    <row r="310" spans="1:6" x14ac:dyDescent="0.35">
      <c r="A310" s="2">
        <f>'VaR Model'!C310</f>
        <v>45016</v>
      </c>
      <c r="B310" s="48">
        <f>'VaR Model'!D310</f>
        <v>2.5452640744363285E-2</v>
      </c>
      <c r="C310" s="47">
        <f>'VaR Model'!$G$16</f>
        <v>-2.1486122599356419E-2</v>
      </c>
      <c r="D310">
        <f t="shared" si="8"/>
        <v>0</v>
      </c>
      <c r="E310" s="53">
        <f>'VaR Model'!$G$21</f>
        <v>-1.5036332051297405E-2</v>
      </c>
      <c r="F310">
        <f t="shared" si="9"/>
        <v>0</v>
      </c>
    </row>
    <row r="311" spans="1:6" x14ac:dyDescent="0.35">
      <c r="A311" s="2">
        <f>'VaR Model'!C311</f>
        <v>45019</v>
      </c>
      <c r="B311" s="48">
        <f>'VaR Model'!D311</f>
        <v>-3.673008723076048E-3</v>
      </c>
      <c r="C311" s="47">
        <f>'VaR Model'!$G$16</f>
        <v>-2.1486122599356419E-2</v>
      </c>
      <c r="D311">
        <f t="shared" si="8"/>
        <v>0</v>
      </c>
      <c r="E311" s="53">
        <f>'VaR Model'!$G$21</f>
        <v>-1.5036332051297405E-2</v>
      </c>
      <c r="F311">
        <f t="shared" si="9"/>
        <v>0</v>
      </c>
    </row>
    <row r="312" spans="1:6" x14ac:dyDescent="0.35">
      <c r="A312" s="2">
        <f>'VaR Model'!C312</f>
        <v>45021</v>
      </c>
      <c r="B312" s="48">
        <f>'VaR Model'!D312</f>
        <v>7.8844367814093902E-3</v>
      </c>
      <c r="C312" s="47">
        <f>'VaR Model'!$G$16</f>
        <v>-2.1486122599356419E-2</v>
      </c>
      <c r="D312">
        <f t="shared" si="8"/>
        <v>0</v>
      </c>
      <c r="E312" s="53">
        <f>'VaR Model'!$G$21</f>
        <v>-1.5036332051297405E-2</v>
      </c>
      <c r="F312">
        <f t="shared" si="9"/>
        <v>0</v>
      </c>
    </row>
    <row r="313" spans="1:6" x14ac:dyDescent="0.35">
      <c r="A313" s="2">
        <f>'VaR Model'!C313</f>
        <v>45022</v>
      </c>
      <c r="B313" s="48">
        <f>'VaR Model'!D313</f>
        <v>-1.7705552390262719E-3</v>
      </c>
      <c r="C313" s="47">
        <f>'VaR Model'!$G$16</f>
        <v>-2.1486122599356419E-2</v>
      </c>
      <c r="D313">
        <f t="shared" si="8"/>
        <v>0</v>
      </c>
      <c r="E313" s="53">
        <f>'VaR Model'!$G$21</f>
        <v>-1.5036332051297405E-2</v>
      </c>
      <c r="F313">
        <f t="shared" si="9"/>
        <v>0</v>
      </c>
    </row>
    <row r="314" spans="1:6" x14ac:dyDescent="0.35">
      <c r="A314" s="2">
        <f>'VaR Model'!C314</f>
        <v>45026</v>
      </c>
      <c r="B314" s="48">
        <f>'VaR Model'!D314</f>
        <v>1.1292296825572686E-3</v>
      </c>
      <c r="C314" s="47">
        <f>'VaR Model'!$G$16</f>
        <v>-2.1486122599356419E-2</v>
      </c>
      <c r="D314">
        <f t="shared" si="8"/>
        <v>0</v>
      </c>
      <c r="E314" s="53">
        <f>'VaR Model'!$G$21</f>
        <v>-1.5036332051297405E-2</v>
      </c>
      <c r="F314">
        <f t="shared" si="9"/>
        <v>0</v>
      </c>
    </row>
    <row r="315" spans="1:6" x14ac:dyDescent="0.35">
      <c r="A315" s="2">
        <f>'VaR Model'!C315</f>
        <v>45027</v>
      </c>
      <c r="B315" s="48">
        <f>'VaR Model'!D315</f>
        <v>1.7710315154476435E-3</v>
      </c>
      <c r="C315" s="47">
        <f>'VaR Model'!$G$16</f>
        <v>-2.1486122599356419E-2</v>
      </c>
      <c r="D315">
        <f t="shared" si="8"/>
        <v>0</v>
      </c>
      <c r="E315" s="53">
        <f>'VaR Model'!$G$21</f>
        <v>-1.5036332051297405E-2</v>
      </c>
      <c r="F315">
        <f t="shared" si="9"/>
        <v>0</v>
      </c>
    </row>
    <row r="316" spans="1:6" x14ac:dyDescent="0.35">
      <c r="A316" s="2">
        <f>'VaR Model'!C316</f>
        <v>45028</v>
      </c>
      <c r="B316" s="48">
        <f>'VaR Model'!D316</f>
        <v>6.3483721354236312E-3</v>
      </c>
      <c r="C316" s="47">
        <f>'VaR Model'!$G$16</f>
        <v>-2.1486122599356419E-2</v>
      </c>
      <c r="D316">
        <f t="shared" si="8"/>
        <v>0</v>
      </c>
      <c r="E316" s="53">
        <f>'VaR Model'!$G$21</f>
        <v>-1.5036332051297405E-2</v>
      </c>
      <c r="F316">
        <f t="shared" si="9"/>
        <v>0</v>
      </c>
    </row>
    <row r="317" spans="1:6" x14ac:dyDescent="0.35">
      <c r="A317" s="2">
        <f>'VaR Model'!C317</f>
        <v>45029</v>
      </c>
      <c r="B317" s="48">
        <f>'VaR Model'!D317</f>
        <v>-5.0634298899330746E-3</v>
      </c>
      <c r="C317" s="47">
        <f>'VaR Model'!$G$16</f>
        <v>-2.1486122599356419E-2</v>
      </c>
      <c r="D317">
        <f t="shared" si="8"/>
        <v>0</v>
      </c>
      <c r="E317" s="53">
        <f>'VaR Model'!$G$21</f>
        <v>-1.5036332051297405E-2</v>
      </c>
      <c r="F317">
        <f t="shared" si="9"/>
        <v>0</v>
      </c>
    </row>
    <row r="318" spans="1:6" x14ac:dyDescent="0.35">
      <c r="A318" s="2">
        <f>'VaR Model'!C318</f>
        <v>45033</v>
      </c>
      <c r="B318" s="48">
        <f>'VaR Model'!D318</f>
        <v>-1.9100605628077701E-2</v>
      </c>
      <c r="C318" s="47">
        <f>'VaR Model'!$G$16</f>
        <v>-2.1486122599356419E-2</v>
      </c>
      <c r="D318">
        <f t="shared" si="8"/>
        <v>0</v>
      </c>
      <c r="E318" s="53">
        <f>'VaR Model'!$G$21</f>
        <v>-1.5036332051297405E-2</v>
      </c>
      <c r="F318">
        <f t="shared" si="9"/>
        <v>1</v>
      </c>
    </row>
    <row r="319" spans="1:6" x14ac:dyDescent="0.35">
      <c r="A319" s="2">
        <f>'VaR Model'!C319</f>
        <v>45034</v>
      </c>
      <c r="B319" s="48">
        <f>'VaR Model'!D319</f>
        <v>-4.5118037638146088E-3</v>
      </c>
      <c r="C319" s="47">
        <f>'VaR Model'!$G$16</f>
        <v>-2.1486122599356419E-2</v>
      </c>
      <c r="D319">
        <f t="shared" si="8"/>
        <v>0</v>
      </c>
      <c r="E319" s="53">
        <f>'VaR Model'!$G$21</f>
        <v>-1.5036332051297405E-2</v>
      </c>
      <c r="F319">
        <f t="shared" si="9"/>
        <v>0</v>
      </c>
    </row>
    <row r="320" spans="1:6" x14ac:dyDescent="0.35">
      <c r="A320" s="2">
        <f>'VaR Model'!C320</f>
        <v>45035</v>
      </c>
      <c r="B320" s="48">
        <f>'VaR Model'!D320</f>
        <v>-6.994564750459494E-3</v>
      </c>
      <c r="C320" s="47">
        <f>'VaR Model'!$G$16</f>
        <v>-2.1486122599356419E-2</v>
      </c>
      <c r="D320">
        <f t="shared" si="8"/>
        <v>0</v>
      </c>
      <c r="E320" s="53">
        <f>'VaR Model'!$G$21</f>
        <v>-1.5036332051297405E-2</v>
      </c>
      <c r="F320">
        <f t="shared" si="9"/>
        <v>0</v>
      </c>
    </row>
    <row r="321" spans="1:6" x14ac:dyDescent="0.35">
      <c r="A321" s="2">
        <f>'VaR Model'!C321</f>
        <v>45036</v>
      </c>
      <c r="B321" s="48">
        <f>'VaR Model'!D321</f>
        <v>3.7727956265226203E-4</v>
      </c>
      <c r="C321" s="47">
        <f>'VaR Model'!$G$16</f>
        <v>-2.1486122599356419E-2</v>
      </c>
      <c r="D321">
        <f t="shared" si="8"/>
        <v>0</v>
      </c>
      <c r="E321" s="53">
        <f>'VaR Model'!$G$21</f>
        <v>-1.5036332051297405E-2</v>
      </c>
      <c r="F321">
        <f t="shared" si="9"/>
        <v>0</v>
      </c>
    </row>
    <row r="322" spans="1:6" x14ac:dyDescent="0.35">
      <c r="A322" s="2">
        <f>'VaR Model'!C322</f>
        <v>45037</v>
      </c>
      <c r="B322" s="48">
        <f>'VaR Model'!D322</f>
        <v>6.4443706928534548E-3</v>
      </c>
      <c r="C322" s="47">
        <f>'VaR Model'!$G$16</f>
        <v>-2.1486122599356419E-2</v>
      </c>
      <c r="D322">
        <f t="shared" si="8"/>
        <v>0</v>
      </c>
      <c r="E322" s="53">
        <f>'VaR Model'!$G$21</f>
        <v>-1.5036332051297405E-2</v>
      </c>
      <c r="F322">
        <f t="shared" si="9"/>
        <v>0</v>
      </c>
    </row>
    <row r="323" spans="1:6" x14ac:dyDescent="0.35">
      <c r="A323" s="2">
        <f>'VaR Model'!C323</f>
        <v>45040</v>
      </c>
      <c r="B323" s="48">
        <f>'VaR Model'!D323</f>
        <v>5.9622743316310395E-3</v>
      </c>
      <c r="C323" s="47">
        <f>'VaR Model'!$G$16</f>
        <v>-2.1486122599356419E-2</v>
      </c>
      <c r="D323">
        <f t="shared" ref="D323:D386" si="10">IF(B323&lt;C323,1,0)</f>
        <v>0</v>
      </c>
      <c r="E323" s="53">
        <f>'VaR Model'!$G$21</f>
        <v>-1.5036332051297405E-2</v>
      </c>
      <c r="F323">
        <f t="shared" ref="F323:F386" si="11">IF(B323&lt;E323,1,0)</f>
        <v>0</v>
      </c>
    </row>
    <row r="324" spans="1:6" x14ac:dyDescent="0.35">
      <c r="A324" s="2">
        <f>'VaR Model'!C324</f>
        <v>45041</v>
      </c>
      <c r="B324" s="48">
        <f>'VaR Model'!D324</f>
        <v>4.6756865844506399E-3</v>
      </c>
      <c r="C324" s="47">
        <f>'VaR Model'!$G$16</f>
        <v>-2.1486122599356419E-2</v>
      </c>
      <c r="D324">
        <f t="shared" si="10"/>
        <v>0</v>
      </c>
      <c r="E324" s="53">
        <f>'VaR Model'!$G$21</f>
        <v>-1.5036332051297405E-2</v>
      </c>
      <c r="F324">
        <f t="shared" si="11"/>
        <v>0</v>
      </c>
    </row>
    <row r="325" spans="1:6" x14ac:dyDescent="0.35">
      <c r="A325" s="2">
        <f>'VaR Model'!C325</f>
        <v>45042</v>
      </c>
      <c r="B325" s="48">
        <f>'VaR Model'!D325</f>
        <v>1.3132564033073969E-3</v>
      </c>
      <c r="C325" s="47">
        <f>'VaR Model'!$G$16</f>
        <v>-2.1486122599356419E-2</v>
      </c>
      <c r="D325">
        <f t="shared" si="10"/>
        <v>0</v>
      </c>
      <c r="E325" s="53">
        <f>'VaR Model'!$G$21</f>
        <v>-1.5036332051297405E-2</v>
      </c>
      <c r="F325">
        <f t="shared" si="11"/>
        <v>0</v>
      </c>
    </row>
    <row r="326" spans="1:6" x14ac:dyDescent="0.35">
      <c r="A326" s="2">
        <f>'VaR Model'!C326</f>
        <v>45043</v>
      </c>
      <c r="B326" s="48">
        <f>'VaR Model'!D326</f>
        <v>6.1963860785524318E-3</v>
      </c>
      <c r="C326" s="47">
        <f>'VaR Model'!$G$16</f>
        <v>-2.1486122599356419E-2</v>
      </c>
      <c r="D326">
        <f t="shared" si="10"/>
        <v>0</v>
      </c>
      <c r="E326" s="53">
        <f>'VaR Model'!$G$21</f>
        <v>-1.5036332051297405E-2</v>
      </c>
      <c r="F326">
        <f t="shared" si="11"/>
        <v>0</v>
      </c>
    </row>
    <row r="327" spans="1:6" x14ac:dyDescent="0.35">
      <c r="A327" s="2">
        <f>'VaR Model'!C327</f>
        <v>45044</v>
      </c>
      <c r="B327" s="48">
        <f>'VaR Model'!D327</f>
        <v>1.1004976818895576E-2</v>
      </c>
      <c r="C327" s="47">
        <f>'VaR Model'!$G$16</f>
        <v>-2.1486122599356419E-2</v>
      </c>
      <c r="D327">
        <f t="shared" si="10"/>
        <v>0</v>
      </c>
      <c r="E327" s="53">
        <f>'VaR Model'!$G$21</f>
        <v>-1.5036332051297405E-2</v>
      </c>
      <c r="F327">
        <f t="shared" si="11"/>
        <v>0</v>
      </c>
    </row>
    <row r="328" spans="1:6" x14ac:dyDescent="0.35">
      <c r="A328" s="2">
        <f>'VaR Model'!C328</f>
        <v>45048</v>
      </c>
      <c r="B328" s="48">
        <f>'VaR Model'!D328</f>
        <v>6.0554017355166842E-3</v>
      </c>
      <c r="C328" s="47">
        <f>'VaR Model'!$G$16</f>
        <v>-2.1486122599356419E-2</v>
      </c>
      <c r="D328">
        <f t="shared" si="10"/>
        <v>0</v>
      </c>
      <c r="E328" s="53">
        <f>'VaR Model'!$G$21</f>
        <v>-1.5036332051297405E-2</v>
      </c>
      <c r="F328">
        <f t="shared" si="11"/>
        <v>0</v>
      </c>
    </row>
    <row r="329" spans="1:6" x14ac:dyDescent="0.35">
      <c r="A329" s="2">
        <f>'VaR Model'!C329</f>
        <v>45049</v>
      </c>
      <c r="B329" s="48">
        <f>'VaR Model'!D329</f>
        <v>-4.0697446146648018E-3</v>
      </c>
      <c r="C329" s="47">
        <f>'VaR Model'!$G$16</f>
        <v>-2.1486122599356419E-2</v>
      </c>
      <c r="D329">
        <f t="shared" si="10"/>
        <v>0</v>
      </c>
      <c r="E329" s="53">
        <f>'VaR Model'!$G$21</f>
        <v>-1.5036332051297405E-2</v>
      </c>
      <c r="F329">
        <f t="shared" si="11"/>
        <v>0</v>
      </c>
    </row>
    <row r="330" spans="1:6" x14ac:dyDescent="0.35">
      <c r="A330" s="2">
        <f>'VaR Model'!C330</f>
        <v>45050</v>
      </c>
      <c r="B330" s="48">
        <f>'VaR Model'!D330</f>
        <v>4.091970050173744E-3</v>
      </c>
      <c r="C330" s="47">
        <f>'VaR Model'!$G$16</f>
        <v>-2.1486122599356419E-2</v>
      </c>
      <c r="D330">
        <f t="shared" si="10"/>
        <v>0</v>
      </c>
      <c r="E330" s="53">
        <f>'VaR Model'!$G$21</f>
        <v>-1.5036332051297405E-2</v>
      </c>
      <c r="F330">
        <f t="shared" si="11"/>
        <v>0</v>
      </c>
    </row>
    <row r="331" spans="1:6" x14ac:dyDescent="0.35">
      <c r="A331" s="2">
        <f>'VaR Model'!C331</f>
        <v>45051</v>
      </c>
      <c r="B331" s="48">
        <f>'VaR Model'!D331</f>
        <v>9.0588904695124714E-4</v>
      </c>
      <c r="C331" s="47">
        <f>'VaR Model'!$G$16</f>
        <v>-2.1486122599356419E-2</v>
      </c>
      <c r="D331">
        <f t="shared" si="10"/>
        <v>0</v>
      </c>
      <c r="E331" s="53">
        <f>'VaR Model'!$G$21</f>
        <v>-1.5036332051297405E-2</v>
      </c>
      <c r="F331">
        <f t="shared" si="11"/>
        <v>0</v>
      </c>
    </row>
    <row r="332" spans="1:6" x14ac:dyDescent="0.35">
      <c r="A332" s="2">
        <f>'VaR Model'!C332</f>
        <v>45054</v>
      </c>
      <c r="B332" s="48">
        <f>'VaR Model'!D332</f>
        <v>8.3192139299372789E-3</v>
      </c>
      <c r="C332" s="47">
        <f>'VaR Model'!$G$16</f>
        <v>-2.1486122599356419E-2</v>
      </c>
      <c r="D332">
        <f t="shared" si="10"/>
        <v>0</v>
      </c>
      <c r="E332" s="53">
        <f>'VaR Model'!$G$21</f>
        <v>-1.5036332051297405E-2</v>
      </c>
      <c r="F332">
        <f t="shared" si="11"/>
        <v>0</v>
      </c>
    </row>
    <row r="333" spans="1:6" x14ac:dyDescent="0.35">
      <c r="A333" s="2">
        <f>'VaR Model'!C333</f>
        <v>45055</v>
      </c>
      <c r="B333" s="48">
        <f>'VaR Model'!D333</f>
        <v>-9.0888087156128705E-4</v>
      </c>
      <c r="C333" s="47">
        <f>'VaR Model'!$G$16</f>
        <v>-2.1486122599356419E-2</v>
      </c>
      <c r="D333">
        <f t="shared" si="10"/>
        <v>0</v>
      </c>
      <c r="E333" s="53">
        <f>'VaR Model'!$G$21</f>
        <v>-1.5036332051297405E-2</v>
      </c>
      <c r="F333">
        <f t="shared" si="11"/>
        <v>0</v>
      </c>
    </row>
    <row r="334" spans="1:6" x14ac:dyDescent="0.35">
      <c r="A334" s="2">
        <f>'VaR Model'!C334</f>
        <v>45056</v>
      </c>
      <c r="B334" s="48">
        <f>'VaR Model'!D334</f>
        <v>1.4945707777808009E-3</v>
      </c>
      <c r="C334" s="47">
        <f>'VaR Model'!$G$16</f>
        <v>-2.1486122599356419E-2</v>
      </c>
      <c r="D334">
        <f t="shared" si="10"/>
        <v>0</v>
      </c>
      <c r="E334" s="53">
        <f>'VaR Model'!$G$21</f>
        <v>-1.5036332051297405E-2</v>
      </c>
      <c r="F334">
        <f t="shared" si="11"/>
        <v>0</v>
      </c>
    </row>
    <row r="335" spans="1:6" x14ac:dyDescent="0.35">
      <c r="A335" s="2">
        <f>'VaR Model'!C335</f>
        <v>45057</v>
      </c>
      <c r="B335" s="48">
        <f>'VaR Model'!D335</f>
        <v>-4.3958725215866284E-3</v>
      </c>
      <c r="C335" s="47">
        <f>'VaR Model'!$G$16</f>
        <v>-2.1486122599356419E-2</v>
      </c>
      <c r="D335">
        <f t="shared" si="10"/>
        <v>0</v>
      </c>
      <c r="E335" s="53">
        <f>'VaR Model'!$G$21</f>
        <v>-1.5036332051297405E-2</v>
      </c>
      <c r="F335">
        <f t="shared" si="11"/>
        <v>0</v>
      </c>
    </row>
    <row r="336" spans="1:6" x14ac:dyDescent="0.35">
      <c r="A336" s="2">
        <f>'VaR Model'!C336</f>
        <v>45058</v>
      </c>
      <c r="B336" s="48">
        <f>'VaR Model'!D336</f>
        <v>-8.7172414488676778E-4</v>
      </c>
      <c r="C336" s="47">
        <f>'VaR Model'!$G$16</f>
        <v>-2.1486122599356419E-2</v>
      </c>
      <c r="D336">
        <f t="shared" si="10"/>
        <v>0</v>
      </c>
      <c r="E336" s="53">
        <f>'VaR Model'!$G$21</f>
        <v>-1.5036332051297405E-2</v>
      </c>
      <c r="F336">
        <f t="shared" si="11"/>
        <v>0</v>
      </c>
    </row>
    <row r="337" spans="1:6" x14ac:dyDescent="0.35">
      <c r="A337" s="2">
        <f>'VaR Model'!C337</f>
        <v>45061</v>
      </c>
      <c r="B337" s="48">
        <f>'VaR Model'!D337</f>
        <v>5.1730459996660724E-3</v>
      </c>
      <c r="C337" s="47">
        <f>'VaR Model'!$G$16</f>
        <v>-2.1486122599356419E-2</v>
      </c>
      <c r="D337">
        <f t="shared" si="10"/>
        <v>0</v>
      </c>
      <c r="E337" s="53">
        <f>'VaR Model'!$G$21</f>
        <v>-1.5036332051297405E-2</v>
      </c>
      <c r="F337">
        <f t="shared" si="11"/>
        <v>0</v>
      </c>
    </row>
    <row r="338" spans="1:6" x14ac:dyDescent="0.35">
      <c r="A338" s="2">
        <f>'VaR Model'!C338</f>
        <v>45062</v>
      </c>
      <c r="B338" s="48">
        <f>'VaR Model'!D338</f>
        <v>-3.4172562594650627E-3</v>
      </c>
      <c r="C338" s="47">
        <f>'VaR Model'!$G$16</f>
        <v>-2.1486122599356419E-2</v>
      </c>
      <c r="D338">
        <f t="shared" si="10"/>
        <v>0</v>
      </c>
      <c r="E338" s="53">
        <f>'VaR Model'!$G$21</f>
        <v>-1.5036332051297405E-2</v>
      </c>
      <c r="F338">
        <f t="shared" si="11"/>
        <v>0</v>
      </c>
    </row>
    <row r="339" spans="1:6" x14ac:dyDescent="0.35">
      <c r="A339" s="2">
        <f>'VaR Model'!C339</f>
        <v>45063</v>
      </c>
      <c r="B339" s="48">
        <f>'VaR Model'!D339</f>
        <v>-6.786094112356659E-3</v>
      </c>
      <c r="C339" s="47">
        <f>'VaR Model'!$G$16</f>
        <v>-2.1486122599356419E-2</v>
      </c>
      <c r="D339">
        <f t="shared" si="10"/>
        <v>0</v>
      </c>
      <c r="E339" s="53">
        <f>'VaR Model'!$G$21</f>
        <v>-1.5036332051297405E-2</v>
      </c>
      <c r="F339">
        <f t="shared" si="11"/>
        <v>0</v>
      </c>
    </row>
    <row r="340" spans="1:6" x14ac:dyDescent="0.35">
      <c r="A340" s="2">
        <f>'VaR Model'!C340</f>
        <v>45064</v>
      </c>
      <c r="B340" s="48">
        <f>'VaR Model'!D340</f>
        <v>-3.3405634090934522E-3</v>
      </c>
      <c r="C340" s="47">
        <f>'VaR Model'!$G$16</f>
        <v>-2.1486122599356419E-2</v>
      </c>
      <c r="D340">
        <f t="shared" si="10"/>
        <v>0</v>
      </c>
      <c r="E340" s="53">
        <f>'VaR Model'!$G$21</f>
        <v>-1.5036332051297405E-2</v>
      </c>
      <c r="F340">
        <f t="shared" si="11"/>
        <v>0</v>
      </c>
    </row>
    <row r="341" spans="1:6" x14ac:dyDescent="0.35">
      <c r="A341" s="2">
        <f>'VaR Model'!C341</f>
        <v>45065</v>
      </c>
      <c r="B341" s="48">
        <f>'VaR Model'!D341</f>
        <v>7.434273601952421E-3</v>
      </c>
      <c r="C341" s="47">
        <f>'VaR Model'!$G$16</f>
        <v>-2.1486122599356419E-2</v>
      </c>
      <c r="D341">
        <f t="shared" si="10"/>
        <v>0</v>
      </c>
      <c r="E341" s="53">
        <f>'VaR Model'!$G$21</f>
        <v>-1.5036332051297405E-2</v>
      </c>
      <c r="F341">
        <f t="shared" si="11"/>
        <v>0</v>
      </c>
    </row>
    <row r="342" spans="1:6" x14ac:dyDescent="0.35">
      <c r="A342" s="2">
        <f>'VaR Model'!C342</f>
        <v>45068</v>
      </c>
      <c r="B342" s="48">
        <f>'VaR Model'!D342</f>
        <v>1.0944740403671186E-2</v>
      </c>
      <c r="C342" s="47">
        <f>'VaR Model'!$G$16</f>
        <v>-2.1486122599356419E-2</v>
      </c>
      <c r="D342">
        <f t="shared" si="10"/>
        <v>0</v>
      </c>
      <c r="E342" s="53">
        <f>'VaR Model'!$G$21</f>
        <v>-1.5036332051297405E-2</v>
      </c>
      <c r="F342">
        <f t="shared" si="11"/>
        <v>0</v>
      </c>
    </row>
    <row r="343" spans="1:6" x14ac:dyDescent="0.35">
      <c r="A343" s="2">
        <f>'VaR Model'!C343</f>
        <v>45069</v>
      </c>
      <c r="B343" s="48">
        <f>'VaR Model'!D343</f>
        <v>3.6838217136331416E-3</v>
      </c>
      <c r="C343" s="47">
        <f>'VaR Model'!$G$16</f>
        <v>-2.1486122599356419E-2</v>
      </c>
      <c r="D343">
        <f t="shared" si="10"/>
        <v>0</v>
      </c>
      <c r="E343" s="53">
        <f>'VaR Model'!$G$21</f>
        <v>-1.5036332051297405E-2</v>
      </c>
      <c r="F343">
        <f t="shared" si="11"/>
        <v>0</v>
      </c>
    </row>
    <row r="344" spans="1:6" x14ac:dyDescent="0.35">
      <c r="A344" s="2">
        <f>'VaR Model'!C344</f>
        <v>45070</v>
      </c>
      <c r="B344" s="48">
        <f>'VaR Model'!D344</f>
        <v>-1.6789738868981962E-3</v>
      </c>
      <c r="C344" s="47">
        <f>'VaR Model'!$G$16</f>
        <v>-2.1486122599356419E-2</v>
      </c>
      <c r="D344">
        <f t="shared" si="10"/>
        <v>0</v>
      </c>
      <c r="E344" s="53">
        <f>'VaR Model'!$G$21</f>
        <v>-1.5036332051297405E-2</v>
      </c>
      <c r="F344">
        <f t="shared" si="11"/>
        <v>0</v>
      </c>
    </row>
    <row r="345" spans="1:6" x14ac:dyDescent="0.35">
      <c r="A345" s="2">
        <f>'VaR Model'!C345</f>
        <v>45071</v>
      </c>
      <c r="B345" s="48">
        <f>'VaR Model'!D345</f>
        <v>3.5828952451731487E-3</v>
      </c>
      <c r="C345" s="47">
        <f>'VaR Model'!$G$16</f>
        <v>-2.1486122599356419E-2</v>
      </c>
      <c r="D345">
        <f t="shared" si="10"/>
        <v>0</v>
      </c>
      <c r="E345" s="53">
        <f>'VaR Model'!$G$21</f>
        <v>-1.5036332051297405E-2</v>
      </c>
      <c r="F345">
        <f t="shared" si="11"/>
        <v>0</v>
      </c>
    </row>
    <row r="346" spans="1:6" x14ac:dyDescent="0.35">
      <c r="A346" s="2">
        <f>'VaR Model'!C346</f>
        <v>45072</v>
      </c>
      <c r="B346" s="48">
        <f>'VaR Model'!D346</f>
        <v>1.2919548028474207E-2</v>
      </c>
      <c r="C346" s="47">
        <f>'VaR Model'!$G$16</f>
        <v>-2.1486122599356419E-2</v>
      </c>
      <c r="D346">
        <f t="shared" si="10"/>
        <v>0</v>
      </c>
      <c r="E346" s="53">
        <f>'VaR Model'!$G$21</f>
        <v>-1.5036332051297405E-2</v>
      </c>
      <c r="F346">
        <f t="shared" si="11"/>
        <v>0</v>
      </c>
    </row>
    <row r="347" spans="1:6" x14ac:dyDescent="0.35">
      <c r="A347" s="2">
        <f>'VaR Model'!C347</f>
        <v>45075</v>
      </c>
      <c r="B347" s="48">
        <f>'VaR Model'!D347</f>
        <v>2.0696431370105881E-3</v>
      </c>
      <c r="C347" s="47">
        <f>'VaR Model'!$G$16</f>
        <v>-2.1486122599356419E-2</v>
      </c>
      <c r="D347">
        <f t="shared" si="10"/>
        <v>0</v>
      </c>
      <c r="E347" s="53">
        <f>'VaR Model'!$G$21</f>
        <v>-1.5036332051297405E-2</v>
      </c>
      <c r="F347">
        <f t="shared" si="11"/>
        <v>0</v>
      </c>
    </row>
    <row r="348" spans="1:6" x14ac:dyDescent="0.35">
      <c r="A348" s="2">
        <f>'VaR Model'!C348</f>
        <v>45076</v>
      </c>
      <c r="B348" s="48">
        <f>'VaR Model'!D348</f>
        <v>3.0969545716699569E-3</v>
      </c>
      <c r="C348" s="47">
        <f>'VaR Model'!$G$16</f>
        <v>-2.1486122599356419E-2</v>
      </c>
      <c r="D348">
        <f t="shared" si="10"/>
        <v>0</v>
      </c>
      <c r="E348" s="53">
        <f>'VaR Model'!$G$21</f>
        <v>-1.5036332051297405E-2</v>
      </c>
      <c r="F348">
        <f t="shared" si="11"/>
        <v>0</v>
      </c>
    </row>
    <row r="349" spans="1:6" x14ac:dyDescent="0.35">
      <c r="A349" s="2">
        <f>'VaR Model'!C349</f>
        <v>45077</v>
      </c>
      <c r="B349" s="48">
        <f>'VaR Model'!D349</f>
        <v>-8.6027630850239768E-3</v>
      </c>
      <c r="C349" s="47">
        <f>'VaR Model'!$G$16</f>
        <v>-2.1486122599356419E-2</v>
      </c>
      <c r="D349">
        <f t="shared" si="10"/>
        <v>0</v>
      </c>
      <c r="E349" s="53">
        <f>'VaR Model'!$G$21</f>
        <v>-1.5036332051297405E-2</v>
      </c>
      <c r="F349">
        <f t="shared" si="11"/>
        <v>0</v>
      </c>
    </row>
    <row r="350" spans="1:6" x14ac:dyDescent="0.35">
      <c r="A350" s="2">
        <f>'VaR Model'!C350</f>
        <v>45078</v>
      </c>
      <c r="B350" s="48">
        <f>'VaR Model'!D350</f>
        <v>-3.6611705472764577E-3</v>
      </c>
      <c r="C350" s="47">
        <f>'VaR Model'!$G$16</f>
        <v>-2.1486122599356419E-2</v>
      </c>
      <c r="D350">
        <f t="shared" si="10"/>
        <v>0</v>
      </c>
      <c r="E350" s="53">
        <f>'VaR Model'!$G$21</f>
        <v>-1.5036332051297405E-2</v>
      </c>
      <c r="F350">
        <f t="shared" si="11"/>
        <v>0</v>
      </c>
    </row>
    <row r="351" spans="1:6" x14ac:dyDescent="0.35">
      <c r="A351" s="2">
        <f>'VaR Model'!C351</f>
        <v>45079</v>
      </c>
      <c r="B351" s="48">
        <f>'VaR Model'!D351</f>
        <v>-2.7834595077065837E-3</v>
      </c>
      <c r="C351" s="47">
        <f>'VaR Model'!$G$16</f>
        <v>-2.1486122599356419E-2</v>
      </c>
      <c r="D351">
        <f t="shared" si="10"/>
        <v>0</v>
      </c>
      <c r="E351" s="53">
        <f>'VaR Model'!$G$21</f>
        <v>-1.5036332051297405E-2</v>
      </c>
      <c r="F351">
        <f t="shared" si="11"/>
        <v>0</v>
      </c>
    </row>
    <row r="352" spans="1:6" x14ac:dyDescent="0.35">
      <c r="A352" s="2">
        <f>'VaR Model'!C352</f>
        <v>45082</v>
      </c>
      <c r="B352" s="48">
        <f>'VaR Model'!D352</f>
        <v>2.2021719562236777E-3</v>
      </c>
      <c r="C352" s="47">
        <f>'VaR Model'!$G$16</f>
        <v>-2.1486122599356419E-2</v>
      </c>
      <c r="D352">
        <f t="shared" si="10"/>
        <v>0</v>
      </c>
      <c r="E352" s="53">
        <f>'VaR Model'!$G$21</f>
        <v>-1.5036332051297405E-2</v>
      </c>
      <c r="F352">
        <f t="shared" si="11"/>
        <v>0</v>
      </c>
    </row>
    <row r="353" spans="1:6" x14ac:dyDescent="0.35">
      <c r="A353" s="2">
        <f>'VaR Model'!C353</f>
        <v>45083</v>
      </c>
      <c r="B353" s="48">
        <f>'VaR Model'!D353</f>
        <v>-7.2648739860014279E-3</v>
      </c>
      <c r="C353" s="47">
        <f>'VaR Model'!$G$16</f>
        <v>-2.1486122599356419E-2</v>
      </c>
      <c r="D353">
        <f t="shared" si="10"/>
        <v>0</v>
      </c>
      <c r="E353" s="53">
        <f>'VaR Model'!$G$21</f>
        <v>-1.5036332051297405E-2</v>
      </c>
      <c r="F353">
        <f t="shared" si="11"/>
        <v>0</v>
      </c>
    </row>
    <row r="354" spans="1:6" x14ac:dyDescent="0.35">
      <c r="A354" s="2">
        <f>'VaR Model'!C354</f>
        <v>45084</v>
      </c>
      <c r="B354" s="48">
        <f>'VaR Model'!D354</f>
        <v>5.7959664873192349E-3</v>
      </c>
      <c r="C354" s="47">
        <f>'VaR Model'!$G$16</f>
        <v>-2.1486122599356419E-2</v>
      </c>
      <c r="D354">
        <f t="shared" si="10"/>
        <v>0</v>
      </c>
      <c r="E354" s="53">
        <f>'VaR Model'!$G$21</f>
        <v>-1.5036332051297405E-2</v>
      </c>
      <c r="F354">
        <f t="shared" si="11"/>
        <v>0</v>
      </c>
    </row>
    <row r="355" spans="1:6" x14ac:dyDescent="0.35">
      <c r="A355" s="2">
        <f>'VaR Model'!C355</f>
        <v>45085</v>
      </c>
      <c r="B355" s="48">
        <f>'VaR Model'!D355</f>
        <v>-4.1617246045660911E-3</v>
      </c>
      <c r="C355" s="47">
        <f>'VaR Model'!$G$16</f>
        <v>-2.1486122599356419E-2</v>
      </c>
      <c r="D355">
        <f t="shared" si="10"/>
        <v>0</v>
      </c>
      <c r="E355" s="53">
        <f>'VaR Model'!$G$21</f>
        <v>-1.5036332051297405E-2</v>
      </c>
      <c r="F355">
        <f t="shared" si="11"/>
        <v>0</v>
      </c>
    </row>
    <row r="356" spans="1:6" x14ac:dyDescent="0.35">
      <c r="A356" s="2">
        <f>'VaR Model'!C356</f>
        <v>45086</v>
      </c>
      <c r="B356" s="48">
        <f>'VaR Model'!D356</f>
        <v>-7.7363417314384418E-3</v>
      </c>
      <c r="C356" s="47">
        <f>'VaR Model'!$G$16</f>
        <v>-2.1486122599356419E-2</v>
      </c>
      <c r="D356">
        <f t="shared" si="10"/>
        <v>0</v>
      </c>
      <c r="E356" s="53">
        <f>'VaR Model'!$G$21</f>
        <v>-1.5036332051297405E-2</v>
      </c>
      <c r="F356">
        <f t="shared" si="11"/>
        <v>0</v>
      </c>
    </row>
    <row r="357" spans="1:6" x14ac:dyDescent="0.35">
      <c r="A357" s="2">
        <f>'VaR Model'!C357</f>
        <v>45089</v>
      </c>
      <c r="B357" s="48">
        <f>'VaR Model'!D357</f>
        <v>5.438400218631817E-3</v>
      </c>
      <c r="C357" s="47">
        <f>'VaR Model'!$G$16</f>
        <v>-2.1486122599356419E-2</v>
      </c>
      <c r="D357">
        <f t="shared" si="10"/>
        <v>0</v>
      </c>
      <c r="E357" s="53">
        <f>'VaR Model'!$G$21</f>
        <v>-1.5036332051297405E-2</v>
      </c>
      <c r="F357">
        <f t="shared" si="11"/>
        <v>0</v>
      </c>
    </row>
    <row r="358" spans="1:6" x14ac:dyDescent="0.35">
      <c r="A358" s="2">
        <f>'VaR Model'!C358</f>
        <v>45090</v>
      </c>
      <c r="B358" s="48">
        <f>'VaR Model'!D358</f>
        <v>1.0169634043361634E-2</v>
      </c>
      <c r="C358" s="47">
        <f>'VaR Model'!$G$16</f>
        <v>-2.1486122599356419E-2</v>
      </c>
      <c r="D358">
        <f t="shared" si="10"/>
        <v>0</v>
      </c>
      <c r="E358" s="53">
        <f>'VaR Model'!$G$21</f>
        <v>-1.5036332051297405E-2</v>
      </c>
      <c r="F358">
        <f t="shared" si="11"/>
        <v>0</v>
      </c>
    </row>
    <row r="359" spans="1:6" x14ac:dyDescent="0.35">
      <c r="A359" s="2">
        <f>'VaR Model'!C359</f>
        <v>45091</v>
      </c>
      <c r="B359" s="48">
        <f>'VaR Model'!D359</f>
        <v>1.0127596694372604E-3</v>
      </c>
      <c r="C359" s="47">
        <f>'VaR Model'!$G$16</f>
        <v>-2.1486122599356419E-2</v>
      </c>
      <c r="D359">
        <f t="shared" si="10"/>
        <v>0</v>
      </c>
      <c r="E359" s="53">
        <f>'VaR Model'!$G$21</f>
        <v>-1.5036332051297405E-2</v>
      </c>
      <c r="F359">
        <f t="shared" si="11"/>
        <v>0</v>
      </c>
    </row>
    <row r="360" spans="1:6" x14ac:dyDescent="0.35">
      <c r="A360" s="2">
        <f>'VaR Model'!C360</f>
        <v>45092</v>
      </c>
      <c r="B360" s="48">
        <f>'VaR Model'!D360</f>
        <v>-5.4098253396992098E-3</v>
      </c>
      <c r="C360" s="47">
        <f>'VaR Model'!$G$16</f>
        <v>-2.1486122599356419E-2</v>
      </c>
      <c r="D360">
        <f t="shared" si="10"/>
        <v>0</v>
      </c>
      <c r="E360" s="53">
        <f>'VaR Model'!$G$21</f>
        <v>-1.5036332051297405E-2</v>
      </c>
      <c r="F360">
        <f t="shared" si="11"/>
        <v>0</v>
      </c>
    </row>
    <row r="361" spans="1:6" x14ac:dyDescent="0.35">
      <c r="A361" s="2">
        <f>'VaR Model'!C361</f>
        <v>45093</v>
      </c>
      <c r="B361" s="48">
        <f>'VaR Model'!D361</f>
        <v>3.9513849126228216E-3</v>
      </c>
      <c r="C361" s="47">
        <f>'VaR Model'!$G$16</f>
        <v>-2.1486122599356419E-2</v>
      </c>
      <c r="D361">
        <f t="shared" si="10"/>
        <v>0</v>
      </c>
      <c r="E361" s="53">
        <f>'VaR Model'!$G$21</f>
        <v>-1.5036332051297405E-2</v>
      </c>
      <c r="F361">
        <f t="shared" si="11"/>
        <v>0</v>
      </c>
    </row>
    <row r="362" spans="1:6" x14ac:dyDescent="0.35">
      <c r="A362" s="2">
        <f>'VaR Model'!C362</f>
        <v>45096</v>
      </c>
      <c r="B362" s="48">
        <f>'VaR Model'!D362</f>
        <v>-1.569382986940803E-3</v>
      </c>
      <c r="C362" s="47">
        <f>'VaR Model'!$G$16</f>
        <v>-2.1486122599356419E-2</v>
      </c>
      <c r="D362">
        <f t="shared" si="10"/>
        <v>0</v>
      </c>
      <c r="E362" s="53">
        <f>'VaR Model'!$G$21</f>
        <v>-1.5036332051297405E-2</v>
      </c>
      <c r="F362">
        <f t="shared" si="11"/>
        <v>0</v>
      </c>
    </row>
    <row r="363" spans="1:6" x14ac:dyDescent="0.35">
      <c r="A363" s="2">
        <f>'VaR Model'!C363</f>
        <v>45097</v>
      </c>
      <c r="B363" s="48">
        <f>'VaR Model'!D363</f>
        <v>3.1249110105320615E-3</v>
      </c>
      <c r="C363" s="47">
        <f>'VaR Model'!$G$16</f>
        <v>-2.1486122599356419E-2</v>
      </c>
      <c r="D363">
        <f t="shared" si="10"/>
        <v>0</v>
      </c>
      <c r="E363" s="53">
        <f>'VaR Model'!$G$21</f>
        <v>-1.5036332051297405E-2</v>
      </c>
      <c r="F363">
        <f t="shared" si="11"/>
        <v>0</v>
      </c>
    </row>
    <row r="364" spans="1:6" x14ac:dyDescent="0.35">
      <c r="A364" s="2">
        <f>'VaR Model'!C364</f>
        <v>45098</v>
      </c>
      <c r="B364" s="48">
        <f>'VaR Model'!D364</f>
        <v>-9.3775180271105292E-4</v>
      </c>
      <c r="C364" s="47">
        <f>'VaR Model'!$G$16</f>
        <v>-2.1486122599356419E-2</v>
      </c>
      <c r="D364">
        <f t="shared" si="10"/>
        <v>0</v>
      </c>
      <c r="E364" s="53">
        <f>'VaR Model'!$G$21</f>
        <v>-1.5036332051297405E-2</v>
      </c>
      <c r="F364">
        <f t="shared" si="11"/>
        <v>0</v>
      </c>
    </row>
    <row r="365" spans="1:6" x14ac:dyDescent="0.35">
      <c r="A365" s="2">
        <f>'VaR Model'!C365</f>
        <v>45099</v>
      </c>
      <c r="B365" s="48">
        <f>'VaR Model'!D365</f>
        <v>-5.7384763954956572E-3</v>
      </c>
      <c r="C365" s="47">
        <f>'VaR Model'!$G$16</f>
        <v>-2.1486122599356419E-2</v>
      </c>
      <c r="D365">
        <f t="shared" si="10"/>
        <v>0</v>
      </c>
      <c r="E365" s="53">
        <f>'VaR Model'!$G$21</f>
        <v>-1.5036332051297405E-2</v>
      </c>
      <c r="F365">
        <f t="shared" si="11"/>
        <v>0</v>
      </c>
    </row>
    <row r="366" spans="1:6" x14ac:dyDescent="0.35">
      <c r="A366" s="2">
        <f>'VaR Model'!C366</f>
        <v>45100</v>
      </c>
      <c r="B366" s="48">
        <f>'VaR Model'!D366</f>
        <v>-7.4007802427989624E-3</v>
      </c>
      <c r="C366" s="47">
        <f>'VaR Model'!$G$16</f>
        <v>-2.1486122599356419E-2</v>
      </c>
      <c r="D366">
        <f t="shared" si="10"/>
        <v>0</v>
      </c>
      <c r="E366" s="53">
        <f>'VaR Model'!$G$21</f>
        <v>-1.5036332051297405E-2</v>
      </c>
      <c r="F366">
        <f t="shared" si="11"/>
        <v>0</v>
      </c>
    </row>
    <row r="367" spans="1:6" x14ac:dyDescent="0.35">
      <c r="A367" s="2">
        <f>'VaR Model'!C367</f>
        <v>45103</v>
      </c>
      <c r="B367" s="48">
        <f>'VaR Model'!D367</f>
        <v>-1.0760036343874743E-3</v>
      </c>
      <c r="C367" s="47">
        <f>'VaR Model'!$G$16</f>
        <v>-2.1486122599356419E-2</v>
      </c>
      <c r="D367">
        <f t="shared" si="10"/>
        <v>0</v>
      </c>
      <c r="E367" s="53">
        <f>'VaR Model'!$G$21</f>
        <v>-1.5036332051297405E-2</v>
      </c>
      <c r="F367">
        <f t="shared" si="11"/>
        <v>0</v>
      </c>
    </row>
    <row r="368" spans="1:6" x14ac:dyDescent="0.35">
      <c r="A368" s="2">
        <f>'VaR Model'!C368</f>
        <v>45104</v>
      </c>
      <c r="B368" s="48">
        <f>'VaR Model'!D368</f>
        <v>3.5210122824488772E-3</v>
      </c>
      <c r="C368" s="47">
        <f>'VaR Model'!$G$16</f>
        <v>-2.1486122599356419E-2</v>
      </c>
      <c r="D368">
        <f t="shared" si="10"/>
        <v>0</v>
      </c>
      <c r="E368" s="53">
        <f>'VaR Model'!$G$21</f>
        <v>-1.5036332051297405E-2</v>
      </c>
      <c r="F368">
        <f t="shared" si="11"/>
        <v>0</v>
      </c>
    </row>
    <row r="369" spans="1:6" x14ac:dyDescent="0.35">
      <c r="A369" s="2">
        <f>'VaR Model'!C369</f>
        <v>45105</v>
      </c>
      <c r="B369" s="48">
        <f>'VaR Model'!D369</f>
        <v>8.155707956628816E-3</v>
      </c>
      <c r="C369" s="47">
        <f>'VaR Model'!$G$16</f>
        <v>-2.1486122599356419E-2</v>
      </c>
      <c r="D369">
        <f t="shared" si="10"/>
        <v>0</v>
      </c>
      <c r="E369" s="53">
        <f>'VaR Model'!$G$21</f>
        <v>-1.5036332051297405E-2</v>
      </c>
      <c r="F369">
        <f t="shared" si="11"/>
        <v>0</v>
      </c>
    </row>
    <row r="370" spans="1:6" x14ac:dyDescent="0.35">
      <c r="A370" s="2">
        <f>'VaR Model'!C370</f>
        <v>45107</v>
      </c>
      <c r="B370" s="48">
        <f>'VaR Model'!D370</f>
        <v>1.3767113755492515E-2</v>
      </c>
      <c r="C370" s="47">
        <f>'VaR Model'!$G$16</f>
        <v>-2.1486122599356419E-2</v>
      </c>
      <c r="D370">
        <f t="shared" si="10"/>
        <v>0</v>
      </c>
      <c r="E370" s="53">
        <f>'VaR Model'!$G$21</f>
        <v>-1.5036332051297405E-2</v>
      </c>
      <c r="F370">
        <f t="shared" si="11"/>
        <v>0</v>
      </c>
    </row>
    <row r="371" spans="1:6" x14ac:dyDescent="0.35">
      <c r="A371" s="2">
        <f>'VaR Model'!C371</f>
        <v>45110</v>
      </c>
      <c r="B371" s="48">
        <f>'VaR Model'!D371</f>
        <v>9.7638961755163942E-3</v>
      </c>
      <c r="C371" s="47">
        <f>'VaR Model'!$G$16</f>
        <v>-2.1486122599356419E-2</v>
      </c>
      <c r="D371">
        <f t="shared" si="10"/>
        <v>0</v>
      </c>
      <c r="E371" s="53">
        <f>'VaR Model'!$G$21</f>
        <v>-1.5036332051297405E-2</v>
      </c>
      <c r="F371">
        <f t="shared" si="11"/>
        <v>0</v>
      </c>
    </row>
    <row r="372" spans="1:6" x14ac:dyDescent="0.35">
      <c r="A372" s="2">
        <f>'VaR Model'!C372</f>
        <v>45111</v>
      </c>
      <c r="B372" s="48">
        <f>'VaR Model'!D372</f>
        <v>3.6479088195470006E-3</v>
      </c>
      <c r="C372" s="47">
        <f>'VaR Model'!$G$16</f>
        <v>-2.1486122599356419E-2</v>
      </c>
      <c r="D372">
        <f t="shared" si="10"/>
        <v>0</v>
      </c>
      <c r="E372" s="53">
        <f>'VaR Model'!$G$21</f>
        <v>-1.5036332051297405E-2</v>
      </c>
      <c r="F372">
        <f t="shared" si="11"/>
        <v>0</v>
      </c>
    </row>
    <row r="373" spans="1:6" x14ac:dyDescent="0.35">
      <c r="A373" s="2">
        <f>'VaR Model'!C373</f>
        <v>45112</v>
      </c>
      <c r="B373" s="48">
        <f>'VaR Model'!D373</f>
        <v>7.1757824177976423E-3</v>
      </c>
      <c r="C373" s="47">
        <f>'VaR Model'!$G$16</f>
        <v>-2.1486122599356419E-2</v>
      </c>
      <c r="D373">
        <f t="shared" si="10"/>
        <v>0</v>
      </c>
      <c r="E373" s="53">
        <f>'VaR Model'!$G$21</f>
        <v>-1.5036332051297405E-2</v>
      </c>
      <c r="F373">
        <f t="shared" si="11"/>
        <v>0</v>
      </c>
    </row>
    <row r="374" spans="1:6" x14ac:dyDescent="0.35">
      <c r="A374" s="2">
        <f>'VaR Model'!C374</f>
        <v>45113</v>
      </c>
      <c r="B374" s="48">
        <f>'VaR Model'!D374</f>
        <v>3.6160065769969786E-3</v>
      </c>
      <c r="C374" s="47">
        <f>'VaR Model'!$G$16</f>
        <v>-2.1486122599356419E-2</v>
      </c>
      <c r="D374">
        <f t="shared" si="10"/>
        <v>0</v>
      </c>
      <c r="E374" s="53">
        <f>'VaR Model'!$G$21</f>
        <v>-1.5036332051297405E-2</v>
      </c>
      <c r="F374">
        <f t="shared" si="11"/>
        <v>0</v>
      </c>
    </row>
    <row r="375" spans="1:6" x14ac:dyDescent="0.35">
      <c r="A375" s="2">
        <f>'VaR Model'!C375</f>
        <v>45114</v>
      </c>
      <c r="B375" s="48">
        <f>'VaR Model'!D375</f>
        <v>-7.1239173268995088E-3</v>
      </c>
      <c r="C375" s="47">
        <f>'VaR Model'!$G$16</f>
        <v>-2.1486122599356419E-2</v>
      </c>
      <c r="D375">
        <f t="shared" si="10"/>
        <v>0</v>
      </c>
      <c r="E375" s="53">
        <f>'VaR Model'!$G$21</f>
        <v>-1.5036332051297405E-2</v>
      </c>
      <c r="F375">
        <f t="shared" si="11"/>
        <v>0</v>
      </c>
    </row>
    <row r="376" spans="1:6" x14ac:dyDescent="0.35">
      <c r="A376" s="2">
        <f>'VaR Model'!C376</f>
        <v>45117</v>
      </c>
      <c r="B376" s="48">
        <f>'VaR Model'!D376</f>
        <v>3.2596141024580855E-3</v>
      </c>
      <c r="C376" s="47">
        <f>'VaR Model'!$G$16</f>
        <v>-2.1486122599356419E-2</v>
      </c>
      <c r="D376">
        <f t="shared" si="10"/>
        <v>0</v>
      </c>
      <c r="E376" s="53">
        <f>'VaR Model'!$G$21</f>
        <v>-1.5036332051297405E-2</v>
      </c>
      <c r="F376">
        <f t="shared" si="11"/>
        <v>0</v>
      </c>
    </row>
    <row r="377" spans="1:6" x14ac:dyDescent="0.35">
      <c r="A377" s="2">
        <f>'VaR Model'!C377</f>
        <v>45118</v>
      </c>
      <c r="B377" s="48">
        <f>'VaR Model'!D377</f>
        <v>7.4723228590444927E-3</v>
      </c>
      <c r="C377" s="47">
        <f>'VaR Model'!$G$16</f>
        <v>-2.1486122599356419E-2</v>
      </c>
      <c r="D377">
        <f t="shared" si="10"/>
        <v>0</v>
      </c>
      <c r="E377" s="53">
        <f>'VaR Model'!$G$21</f>
        <v>-1.5036332051297405E-2</v>
      </c>
      <c r="F377">
        <f t="shared" si="11"/>
        <v>0</v>
      </c>
    </row>
    <row r="378" spans="1:6" x14ac:dyDescent="0.35">
      <c r="A378" s="2">
        <f>'VaR Model'!C378</f>
        <v>45119</v>
      </c>
      <c r="B378" s="48">
        <f>'VaR Model'!D378</f>
        <v>-3.306139118854644E-3</v>
      </c>
      <c r="C378" s="47">
        <f>'VaR Model'!$G$16</f>
        <v>-2.1486122599356419E-2</v>
      </c>
      <c r="D378">
        <f t="shared" si="10"/>
        <v>0</v>
      </c>
      <c r="E378" s="53">
        <f>'VaR Model'!$G$21</f>
        <v>-1.5036332051297405E-2</v>
      </c>
      <c r="F378">
        <f t="shared" si="11"/>
        <v>0</v>
      </c>
    </row>
    <row r="379" spans="1:6" x14ac:dyDescent="0.35">
      <c r="A379" s="2">
        <f>'VaR Model'!C379</f>
        <v>45120</v>
      </c>
      <c r="B379" s="48">
        <f>'VaR Model'!D379</f>
        <v>1.0059500168545191E-2</v>
      </c>
      <c r="C379" s="47">
        <f>'VaR Model'!$G$16</f>
        <v>-2.1486122599356419E-2</v>
      </c>
      <c r="D379">
        <f t="shared" si="10"/>
        <v>0</v>
      </c>
      <c r="E379" s="53">
        <f>'VaR Model'!$G$21</f>
        <v>-1.5036332051297405E-2</v>
      </c>
      <c r="F379">
        <f t="shared" si="11"/>
        <v>0</v>
      </c>
    </row>
    <row r="380" spans="1:6" x14ac:dyDescent="0.35">
      <c r="A380" s="2">
        <f>'VaR Model'!C380</f>
        <v>45121</v>
      </c>
      <c r="B380" s="48">
        <f>'VaR Model'!D380</f>
        <v>2.0003225025938695E-2</v>
      </c>
      <c r="C380" s="47">
        <f>'VaR Model'!$G$16</f>
        <v>-2.1486122599356419E-2</v>
      </c>
      <c r="D380">
        <f t="shared" si="10"/>
        <v>0</v>
      </c>
      <c r="E380" s="53">
        <f>'VaR Model'!$G$21</f>
        <v>-1.5036332051297405E-2</v>
      </c>
      <c r="F380">
        <f t="shared" si="11"/>
        <v>0</v>
      </c>
    </row>
    <row r="381" spans="1:6" x14ac:dyDescent="0.35">
      <c r="A381" s="2">
        <f>'VaR Model'!C381</f>
        <v>45124</v>
      </c>
      <c r="B381" s="48">
        <f>'VaR Model'!D381</f>
        <v>3.8759090441403436E-3</v>
      </c>
      <c r="C381" s="47">
        <f>'VaR Model'!$G$16</f>
        <v>-2.1486122599356419E-2</v>
      </c>
      <c r="D381">
        <f t="shared" si="10"/>
        <v>0</v>
      </c>
      <c r="E381" s="53">
        <f>'VaR Model'!$G$21</f>
        <v>-1.5036332051297405E-2</v>
      </c>
      <c r="F381">
        <f t="shared" si="11"/>
        <v>0</v>
      </c>
    </row>
    <row r="382" spans="1:6" x14ac:dyDescent="0.35">
      <c r="A382" s="2">
        <f>'VaR Model'!C382</f>
        <v>45125</v>
      </c>
      <c r="B382" s="48">
        <f>'VaR Model'!D382</f>
        <v>1.0649822431876229E-2</v>
      </c>
      <c r="C382" s="47">
        <f>'VaR Model'!$G$16</f>
        <v>-2.1486122599356419E-2</v>
      </c>
      <c r="D382">
        <f t="shared" si="10"/>
        <v>0</v>
      </c>
      <c r="E382" s="53">
        <f>'VaR Model'!$G$21</f>
        <v>-1.5036332051297405E-2</v>
      </c>
      <c r="F382">
        <f t="shared" si="11"/>
        <v>0</v>
      </c>
    </row>
    <row r="383" spans="1:6" x14ac:dyDescent="0.35">
      <c r="A383" s="2">
        <f>'VaR Model'!C383</f>
        <v>45126</v>
      </c>
      <c r="B383" s="48">
        <f>'VaR Model'!D383</f>
        <v>2.1993827421371293E-3</v>
      </c>
      <c r="C383" s="47">
        <f>'VaR Model'!$G$16</f>
        <v>-2.1486122599356419E-2</v>
      </c>
      <c r="D383">
        <f t="shared" si="10"/>
        <v>0</v>
      </c>
      <c r="E383" s="53">
        <f>'VaR Model'!$G$21</f>
        <v>-1.5036332051297405E-2</v>
      </c>
      <c r="F383">
        <f t="shared" si="11"/>
        <v>0</v>
      </c>
    </row>
    <row r="384" spans="1:6" x14ac:dyDescent="0.35">
      <c r="A384" s="2">
        <f>'VaR Model'!C384</f>
        <v>45127</v>
      </c>
      <c r="B384" s="48">
        <f>'VaR Model'!D384</f>
        <v>9.1749225449902234E-3</v>
      </c>
      <c r="C384" s="47">
        <f>'VaR Model'!$G$16</f>
        <v>-2.1486122599356419E-2</v>
      </c>
      <c r="D384">
        <f t="shared" si="10"/>
        <v>0</v>
      </c>
      <c r="E384" s="53">
        <f>'VaR Model'!$G$21</f>
        <v>-1.5036332051297405E-2</v>
      </c>
      <c r="F384">
        <f t="shared" si="11"/>
        <v>0</v>
      </c>
    </row>
    <row r="385" spans="1:6" x14ac:dyDescent="0.35">
      <c r="A385" s="2">
        <f>'VaR Model'!C385</f>
        <v>45128</v>
      </c>
      <c r="B385" s="48">
        <f>'VaR Model'!D385</f>
        <v>-2.9231576233355403E-2</v>
      </c>
      <c r="C385" s="47">
        <f>'VaR Model'!$G$16</f>
        <v>-2.1486122599356419E-2</v>
      </c>
      <c r="D385">
        <f t="shared" si="10"/>
        <v>1</v>
      </c>
      <c r="E385" s="53">
        <f>'VaR Model'!$G$21</f>
        <v>-1.5036332051297405E-2</v>
      </c>
      <c r="F385">
        <f t="shared" si="11"/>
        <v>1</v>
      </c>
    </row>
    <row r="386" spans="1:6" x14ac:dyDescent="0.35">
      <c r="A386" s="2">
        <f>'VaR Model'!C386</f>
        <v>45131</v>
      </c>
      <c r="B386" s="48">
        <f>'VaR Model'!D386</f>
        <v>-1.0724344435108783E-2</v>
      </c>
      <c r="C386" s="47">
        <f>'VaR Model'!$G$16</f>
        <v>-2.1486122599356419E-2</v>
      </c>
      <c r="D386">
        <f t="shared" si="10"/>
        <v>0</v>
      </c>
      <c r="E386" s="53">
        <f>'VaR Model'!$G$21</f>
        <v>-1.5036332051297405E-2</v>
      </c>
      <c r="F386">
        <f t="shared" si="11"/>
        <v>0</v>
      </c>
    </row>
    <row r="387" spans="1:6" x14ac:dyDescent="0.35">
      <c r="A387" s="2">
        <f>'VaR Model'!C387</f>
        <v>45132</v>
      </c>
      <c r="B387" s="48">
        <f>'VaR Model'!D387</f>
        <v>-3.5024311866692845E-3</v>
      </c>
      <c r="C387" s="47">
        <f>'VaR Model'!$G$16</f>
        <v>-2.1486122599356419E-2</v>
      </c>
      <c r="D387">
        <f t="shared" ref="D387:D450" si="12">IF(B387&lt;C387,1,0)</f>
        <v>0</v>
      </c>
      <c r="E387" s="53">
        <f>'VaR Model'!$G$21</f>
        <v>-1.5036332051297405E-2</v>
      </c>
      <c r="F387">
        <f t="shared" ref="F387:F450" si="13">IF(B387&lt;E387,1,0)</f>
        <v>0</v>
      </c>
    </row>
    <row r="388" spans="1:6" x14ac:dyDescent="0.35">
      <c r="A388" s="2">
        <f>'VaR Model'!C388</f>
        <v>45133</v>
      </c>
      <c r="B388" s="48">
        <f>'VaR Model'!D388</f>
        <v>9.3227223577396351E-3</v>
      </c>
      <c r="C388" s="47">
        <f>'VaR Model'!$G$16</f>
        <v>-2.1486122599356419E-2</v>
      </c>
      <c r="D388">
        <f t="shared" si="12"/>
        <v>0</v>
      </c>
      <c r="E388" s="53">
        <f>'VaR Model'!$G$21</f>
        <v>-1.5036332051297405E-2</v>
      </c>
      <c r="F388">
        <f t="shared" si="13"/>
        <v>0</v>
      </c>
    </row>
    <row r="389" spans="1:6" x14ac:dyDescent="0.35">
      <c r="A389" s="2">
        <f>'VaR Model'!C389</f>
        <v>45134</v>
      </c>
      <c r="B389" s="48">
        <f>'VaR Model'!D389</f>
        <v>-5.0500094991509301E-3</v>
      </c>
      <c r="C389" s="47">
        <f>'VaR Model'!$G$16</f>
        <v>-2.1486122599356419E-2</v>
      </c>
      <c r="D389">
        <f t="shared" si="12"/>
        <v>0</v>
      </c>
      <c r="E389" s="53">
        <f>'VaR Model'!$G$21</f>
        <v>-1.5036332051297405E-2</v>
      </c>
      <c r="F389">
        <f t="shared" si="13"/>
        <v>0</v>
      </c>
    </row>
    <row r="390" spans="1:6" x14ac:dyDescent="0.35">
      <c r="A390" s="2">
        <f>'VaR Model'!C390</f>
        <v>45135</v>
      </c>
      <c r="B390" s="48">
        <f>'VaR Model'!D390</f>
        <v>3.2063979536996927E-4</v>
      </c>
      <c r="C390" s="47">
        <f>'VaR Model'!$G$16</f>
        <v>-2.1486122599356419E-2</v>
      </c>
      <c r="D390">
        <f t="shared" si="12"/>
        <v>0</v>
      </c>
      <c r="E390" s="53">
        <f>'VaR Model'!$G$21</f>
        <v>-1.5036332051297405E-2</v>
      </c>
      <c r="F390">
        <f t="shared" si="13"/>
        <v>0</v>
      </c>
    </row>
    <row r="391" spans="1:6" x14ac:dyDescent="0.35">
      <c r="A391" s="2">
        <f>'VaR Model'!C391</f>
        <v>45138</v>
      </c>
      <c r="B391" s="48">
        <f>'VaR Model'!D391</f>
        <v>7.0830158831828981E-3</v>
      </c>
      <c r="C391" s="47">
        <f>'VaR Model'!$G$16</f>
        <v>-2.1486122599356419E-2</v>
      </c>
      <c r="D391">
        <f t="shared" si="12"/>
        <v>0</v>
      </c>
      <c r="E391" s="53">
        <f>'VaR Model'!$G$21</f>
        <v>-1.5036332051297405E-2</v>
      </c>
      <c r="F391">
        <f t="shared" si="13"/>
        <v>0</v>
      </c>
    </row>
    <row r="392" spans="1:6" x14ac:dyDescent="0.35">
      <c r="A392" s="2">
        <f>'VaR Model'!C392</f>
        <v>45139</v>
      </c>
      <c r="B392" s="48">
        <f>'VaR Model'!D392</f>
        <v>-8.1028104538540229E-4</v>
      </c>
      <c r="C392" s="47">
        <f>'VaR Model'!$G$16</f>
        <v>-2.1486122599356419E-2</v>
      </c>
      <c r="D392">
        <f t="shared" si="12"/>
        <v>0</v>
      </c>
      <c r="E392" s="53">
        <f>'VaR Model'!$G$21</f>
        <v>-1.5036332051297405E-2</v>
      </c>
      <c r="F392">
        <f t="shared" si="13"/>
        <v>0</v>
      </c>
    </row>
    <row r="393" spans="1:6" x14ac:dyDescent="0.35">
      <c r="A393" s="2">
        <f>'VaR Model'!C393</f>
        <v>45140</v>
      </c>
      <c r="B393" s="48">
        <f>'VaR Model'!D393</f>
        <v>-7.6042462102614396E-3</v>
      </c>
      <c r="C393" s="47">
        <f>'VaR Model'!$G$16</f>
        <v>-2.1486122599356419E-2</v>
      </c>
      <c r="D393">
        <f t="shared" si="12"/>
        <v>0</v>
      </c>
      <c r="E393" s="53">
        <f>'VaR Model'!$G$21</f>
        <v>-1.5036332051297405E-2</v>
      </c>
      <c r="F393">
        <f t="shared" si="13"/>
        <v>0</v>
      </c>
    </row>
    <row r="394" spans="1:6" x14ac:dyDescent="0.35">
      <c r="A394" s="2">
        <f>'VaR Model'!C394</f>
        <v>45141</v>
      </c>
      <c r="B394" s="48">
        <f>'VaR Model'!D394</f>
        <v>-8.39497074557655E-3</v>
      </c>
      <c r="C394" s="47">
        <f>'VaR Model'!$G$16</f>
        <v>-2.1486122599356419E-2</v>
      </c>
      <c r="D394">
        <f t="shared" si="12"/>
        <v>0</v>
      </c>
      <c r="E394" s="53">
        <f>'VaR Model'!$G$21</f>
        <v>-1.5036332051297405E-2</v>
      </c>
      <c r="F394">
        <f t="shared" si="13"/>
        <v>0</v>
      </c>
    </row>
    <row r="395" spans="1:6" x14ac:dyDescent="0.35">
      <c r="A395" s="2">
        <f>'VaR Model'!C395</f>
        <v>45142</v>
      </c>
      <c r="B395" s="48">
        <f>'VaR Model'!D395</f>
        <v>7.9535684971851761E-3</v>
      </c>
      <c r="C395" s="47">
        <f>'VaR Model'!$G$16</f>
        <v>-2.1486122599356419E-2</v>
      </c>
      <c r="D395">
        <f t="shared" si="12"/>
        <v>0</v>
      </c>
      <c r="E395" s="53">
        <f>'VaR Model'!$G$21</f>
        <v>-1.5036332051297405E-2</v>
      </c>
      <c r="F395">
        <f t="shared" si="13"/>
        <v>0</v>
      </c>
    </row>
    <row r="396" spans="1:6" x14ac:dyDescent="0.35">
      <c r="A396" s="2">
        <f>'VaR Model'!C396</f>
        <v>45145</v>
      </c>
      <c r="B396" s="48">
        <f>'VaR Model'!D396</f>
        <v>6.6233514320364478E-3</v>
      </c>
      <c r="C396" s="47">
        <f>'VaR Model'!$G$16</f>
        <v>-2.1486122599356419E-2</v>
      </c>
      <c r="D396">
        <f t="shared" si="12"/>
        <v>0</v>
      </c>
      <c r="E396" s="53">
        <f>'VaR Model'!$G$21</f>
        <v>-1.5036332051297405E-2</v>
      </c>
      <c r="F396">
        <f t="shared" si="13"/>
        <v>0</v>
      </c>
    </row>
    <row r="397" spans="1:6" x14ac:dyDescent="0.35">
      <c r="A397" s="2">
        <f>'VaR Model'!C397</f>
        <v>45146</v>
      </c>
      <c r="B397" s="48">
        <f>'VaR Model'!D397</f>
        <v>-2.6391053669431062E-3</v>
      </c>
      <c r="C397" s="47">
        <f>'VaR Model'!$G$16</f>
        <v>-2.1486122599356419E-2</v>
      </c>
      <c r="D397">
        <f t="shared" si="12"/>
        <v>0</v>
      </c>
      <c r="E397" s="53">
        <f>'VaR Model'!$G$21</f>
        <v>-1.5036332051297405E-2</v>
      </c>
      <c r="F397">
        <f t="shared" si="13"/>
        <v>0</v>
      </c>
    </row>
    <row r="398" spans="1:6" x14ac:dyDescent="0.35">
      <c r="A398" s="2">
        <f>'VaR Model'!C398</f>
        <v>45147</v>
      </c>
      <c r="B398" s="48">
        <f>'VaR Model'!D398</f>
        <v>2.7438764097621636E-3</v>
      </c>
      <c r="C398" s="47">
        <f>'VaR Model'!$G$16</f>
        <v>-2.1486122599356419E-2</v>
      </c>
      <c r="D398">
        <f t="shared" si="12"/>
        <v>0</v>
      </c>
      <c r="E398" s="53">
        <f>'VaR Model'!$G$21</f>
        <v>-1.5036332051297405E-2</v>
      </c>
      <c r="F398">
        <f t="shared" si="13"/>
        <v>0</v>
      </c>
    </row>
    <row r="399" spans="1:6" x14ac:dyDescent="0.35">
      <c r="A399" s="2">
        <f>'VaR Model'!C399</f>
        <v>45148</v>
      </c>
      <c r="B399" s="48">
        <f>'VaR Model'!D399</f>
        <v>-5.8652589645537666E-3</v>
      </c>
      <c r="C399" s="47">
        <f>'VaR Model'!$G$16</f>
        <v>-2.1486122599356419E-2</v>
      </c>
      <c r="D399">
        <f t="shared" si="12"/>
        <v>0</v>
      </c>
      <c r="E399" s="53">
        <f>'VaR Model'!$G$21</f>
        <v>-1.5036332051297405E-2</v>
      </c>
      <c r="F399">
        <f t="shared" si="13"/>
        <v>0</v>
      </c>
    </row>
    <row r="400" spans="1:6" x14ac:dyDescent="0.35">
      <c r="A400" s="2">
        <f>'VaR Model'!C400</f>
        <v>45149</v>
      </c>
      <c r="B400" s="48">
        <f>'VaR Model'!D400</f>
        <v>-4.9494103056105963E-3</v>
      </c>
      <c r="C400" s="47">
        <f>'VaR Model'!$G$16</f>
        <v>-2.1486122599356419E-2</v>
      </c>
      <c r="D400">
        <f t="shared" si="12"/>
        <v>0</v>
      </c>
      <c r="E400" s="53">
        <f>'VaR Model'!$G$21</f>
        <v>-1.5036332051297405E-2</v>
      </c>
      <c r="F400">
        <f t="shared" si="13"/>
        <v>0</v>
      </c>
    </row>
    <row r="401" spans="1:6" x14ac:dyDescent="0.35">
      <c r="A401" s="2">
        <f>'VaR Model'!C401</f>
        <v>45152</v>
      </c>
      <c r="B401" s="48">
        <f>'VaR Model'!D401</f>
        <v>7.1552482754652499E-3</v>
      </c>
      <c r="C401" s="47">
        <f>'VaR Model'!$G$16</f>
        <v>-2.1486122599356419E-2</v>
      </c>
      <c r="D401">
        <f t="shared" si="12"/>
        <v>0</v>
      </c>
      <c r="E401" s="53">
        <f>'VaR Model'!$G$21</f>
        <v>-1.5036332051297405E-2</v>
      </c>
      <c r="F401">
        <f t="shared" si="13"/>
        <v>0</v>
      </c>
    </row>
    <row r="402" spans="1:6" x14ac:dyDescent="0.35">
      <c r="A402" s="2">
        <f>'VaR Model'!C402</f>
        <v>45154</v>
      </c>
      <c r="B402" s="48">
        <f>'VaR Model'!D402</f>
        <v>3.7081933200088127E-3</v>
      </c>
      <c r="C402" s="47">
        <f>'VaR Model'!$G$16</f>
        <v>-2.1486122599356419E-2</v>
      </c>
      <c r="D402">
        <f t="shared" si="12"/>
        <v>0</v>
      </c>
      <c r="E402" s="53">
        <f>'VaR Model'!$G$21</f>
        <v>-1.5036332051297405E-2</v>
      </c>
      <c r="F402">
        <f t="shared" si="13"/>
        <v>0</v>
      </c>
    </row>
    <row r="403" spans="1:6" x14ac:dyDescent="0.35">
      <c r="A403" s="2">
        <f>'VaR Model'!C403</f>
        <v>45155</v>
      </c>
      <c r="B403" s="48">
        <f>'VaR Model'!D403</f>
        <v>-1.0370138375018854E-2</v>
      </c>
      <c r="C403" s="47">
        <f>'VaR Model'!$G$16</f>
        <v>-2.1486122599356419E-2</v>
      </c>
      <c r="D403">
        <f t="shared" si="12"/>
        <v>0</v>
      </c>
      <c r="E403" s="53">
        <f>'VaR Model'!$G$21</f>
        <v>-1.5036332051297405E-2</v>
      </c>
      <c r="F403">
        <f t="shared" si="13"/>
        <v>0</v>
      </c>
    </row>
    <row r="404" spans="1:6" x14ac:dyDescent="0.35">
      <c r="A404" s="2">
        <f>'VaR Model'!C404</f>
        <v>45156</v>
      </c>
      <c r="B404" s="48">
        <f>'VaR Model'!D404</f>
        <v>-5.7230290934617151E-3</v>
      </c>
      <c r="C404" s="47">
        <f>'VaR Model'!$G$16</f>
        <v>-2.1486122599356419E-2</v>
      </c>
      <c r="D404">
        <f t="shared" si="12"/>
        <v>0</v>
      </c>
      <c r="E404" s="53">
        <f>'VaR Model'!$G$21</f>
        <v>-1.5036332051297405E-2</v>
      </c>
      <c r="F404">
        <f t="shared" si="13"/>
        <v>0</v>
      </c>
    </row>
    <row r="405" spans="1:6" x14ac:dyDescent="0.35">
      <c r="A405" s="2">
        <f>'VaR Model'!C405</f>
        <v>45159</v>
      </c>
      <c r="B405" s="48">
        <f>'VaR Model'!D405</f>
        <v>5.2392627179359413E-3</v>
      </c>
      <c r="C405" s="47">
        <f>'VaR Model'!$G$16</f>
        <v>-2.1486122599356419E-2</v>
      </c>
      <c r="D405">
        <f t="shared" si="12"/>
        <v>0</v>
      </c>
      <c r="E405" s="53">
        <f>'VaR Model'!$G$21</f>
        <v>-1.5036332051297405E-2</v>
      </c>
      <c r="F405">
        <f t="shared" si="13"/>
        <v>0</v>
      </c>
    </row>
    <row r="406" spans="1:6" x14ac:dyDescent="0.35">
      <c r="A406" s="2">
        <f>'VaR Model'!C406</f>
        <v>45160</v>
      </c>
      <c r="B406" s="48">
        <f>'VaR Model'!D406</f>
        <v>7.5593093552700063E-4</v>
      </c>
      <c r="C406" s="47">
        <f>'VaR Model'!$G$16</f>
        <v>-2.1486122599356419E-2</v>
      </c>
      <c r="D406">
        <f t="shared" si="12"/>
        <v>0</v>
      </c>
      <c r="E406" s="53">
        <f>'VaR Model'!$G$21</f>
        <v>-1.5036332051297405E-2</v>
      </c>
      <c r="F406">
        <f t="shared" si="13"/>
        <v>0</v>
      </c>
    </row>
    <row r="407" spans="1:6" x14ac:dyDescent="0.35">
      <c r="A407" s="2">
        <f>'VaR Model'!C407</f>
        <v>45161</v>
      </c>
      <c r="B407" s="48">
        <f>'VaR Model'!D407</f>
        <v>3.1833501501315198E-3</v>
      </c>
      <c r="C407" s="47">
        <f>'VaR Model'!$G$16</f>
        <v>-2.1486122599356419E-2</v>
      </c>
      <c r="D407">
        <f t="shared" si="12"/>
        <v>0</v>
      </c>
      <c r="E407" s="53">
        <f>'VaR Model'!$G$21</f>
        <v>-1.5036332051297405E-2</v>
      </c>
      <c r="F407">
        <f t="shared" si="13"/>
        <v>0</v>
      </c>
    </row>
    <row r="408" spans="1:6" x14ac:dyDescent="0.35">
      <c r="A408" s="2">
        <f>'VaR Model'!C408</f>
        <v>45162</v>
      </c>
      <c r="B408" s="48">
        <f>'VaR Model'!D408</f>
        <v>-1.1634080523233166E-3</v>
      </c>
      <c r="C408" s="47">
        <f>'VaR Model'!$G$16</f>
        <v>-2.1486122599356419E-2</v>
      </c>
      <c r="D408">
        <f t="shared" si="12"/>
        <v>0</v>
      </c>
      <c r="E408" s="53">
        <f>'VaR Model'!$G$21</f>
        <v>-1.5036332051297405E-2</v>
      </c>
      <c r="F408">
        <f t="shared" si="13"/>
        <v>0</v>
      </c>
    </row>
    <row r="409" spans="1:6" x14ac:dyDescent="0.35">
      <c r="A409" s="2">
        <f>'VaR Model'!C409</f>
        <v>45163</v>
      </c>
      <c r="B409" s="48">
        <f>'VaR Model'!D409</f>
        <v>-4.8751608534062015E-3</v>
      </c>
      <c r="C409" s="47">
        <f>'VaR Model'!$G$16</f>
        <v>-2.1486122599356419E-2</v>
      </c>
      <c r="D409">
        <f t="shared" si="12"/>
        <v>0</v>
      </c>
      <c r="E409" s="53">
        <f>'VaR Model'!$G$21</f>
        <v>-1.5036332051297405E-2</v>
      </c>
      <c r="F409">
        <f t="shared" si="13"/>
        <v>0</v>
      </c>
    </row>
    <row r="410" spans="1:6" x14ac:dyDescent="0.35">
      <c r="A410" s="2">
        <f>'VaR Model'!C410</f>
        <v>45166</v>
      </c>
      <c r="B410" s="48">
        <f>'VaR Model'!D410</f>
        <v>-3.82419931565375E-3</v>
      </c>
      <c r="C410" s="47">
        <f>'VaR Model'!$G$16</f>
        <v>-2.1486122599356419E-2</v>
      </c>
      <c r="D410">
        <f t="shared" si="12"/>
        <v>0</v>
      </c>
      <c r="E410" s="53">
        <f>'VaR Model'!$G$21</f>
        <v>-1.5036332051297405E-2</v>
      </c>
      <c r="F410">
        <f t="shared" si="13"/>
        <v>0</v>
      </c>
    </row>
    <row r="411" spans="1:6" x14ac:dyDescent="0.35">
      <c r="A411" s="2">
        <f>'VaR Model'!C411</f>
        <v>45167</v>
      </c>
      <c r="B411" s="48">
        <f>'VaR Model'!D411</f>
        <v>-2.77530835719806E-3</v>
      </c>
      <c r="C411" s="47">
        <f>'VaR Model'!$G$16</f>
        <v>-2.1486122599356419E-2</v>
      </c>
      <c r="D411">
        <f t="shared" si="12"/>
        <v>0</v>
      </c>
      <c r="E411" s="53">
        <f>'VaR Model'!$G$21</f>
        <v>-1.5036332051297405E-2</v>
      </c>
      <c r="F411">
        <f t="shared" si="13"/>
        <v>0</v>
      </c>
    </row>
    <row r="412" spans="1:6" x14ac:dyDescent="0.35">
      <c r="A412" s="2">
        <f>'VaR Model'!C412</f>
        <v>45168</v>
      </c>
      <c r="B412" s="48">
        <f>'VaR Model'!D412</f>
        <v>2.5233001768882771E-3</v>
      </c>
      <c r="C412" s="47">
        <f>'VaR Model'!$G$16</f>
        <v>-2.1486122599356419E-2</v>
      </c>
      <c r="D412">
        <f t="shared" si="12"/>
        <v>0</v>
      </c>
      <c r="E412" s="53">
        <f>'VaR Model'!$G$21</f>
        <v>-1.5036332051297405E-2</v>
      </c>
      <c r="F412">
        <f t="shared" si="13"/>
        <v>0</v>
      </c>
    </row>
    <row r="413" spans="1:6" x14ac:dyDescent="0.35">
      <c r="A413" s="2">
        <f>'VaR Model'!C413</f>
        <v>45169</v>
      </c>
      <c r="B413" s="48">
        <f>'VaR Model'!D413</f>
        <v>-4.334228558708195E-3</v>
      </c>
      <c r="C413" s="47">
        <f>'VaR Model'!$G$16</f>
        <v>-2.1486122599356419E-2</v>
      </c>
      <c r="D413">
        <f t="shared" si="12"/>
        <v>0</v>
      </c>
      <c r="E413" s="53">
        <f>'VaR Model'!$G$21</f>
        <v>-1.5036332051297405E-2</v>
      </c>
      <c r="F413">
        <f t="shared" si="13"/>
        <v>0</v>
      </c>
    </row>
    <row r="414" spans="1:6" x14ac:dyDescent="0.35">
      <c r="A414" s="2">
        <f>'VaR Model'!C414</f>
        <v>45170</v>
      </c>
      <c r="B414" s="48">
        <f>'VaR Model'!D414</f>
        <v>5.6438217094995176E-3</v>
      </c>
      <c r="C414" s="47">
        <f>'VaR Model'!$G$16</f>
        <v>-2.1486122599356419E-2</v>
      </c>
      <c r="D414">
        <f t="shared" si="12"/>
        <v>0</v>
      </c>
      <c r="E414" s="53">
        <f>'VaR Model'!$G$21</f>
        <v>-1.5036332051297405E-2</v>
      </c>
      <c r="F414">
        <f t="shared" si="13"/>
        <v>0</v>
      </c>
    </row>
    <row r="415" spans="1:6" x14ac:dyDescent="0.35">
      <c r="A415" s="2">
        <f>'VaR Model'!C415</f>
        <v>45173</v>
      </c>
      <c r="B415" s="48">
        <f>'VaR Model'!D415</f>
        <v>3.1776832816697636E-3</v>
      </c>
      <c r="C415" s="47">
        <f>'VaR Model'!$G$16</f>
        <v>-2.1486122599356419E-2</v>
      </c>
      <c r="D415">
        <f t="shared" si="12"/>
        <v>0</v>
      </c>
      <c r="E415" s="53">
        <f>'VaR Model'!$G$21</f>
        <v>-1.5036332051297405E-2</v>
      </c>
      <c r="F415">
        <f t="shared" si="13"/>
        <v>0</v>
      </c>
    </row>
    <row r="416" spans="1:6" x14ac:dyDescent="0.35">
      <c r="A416" s="2">
        <f>'VaR Model'!C416</f>
        <v>45174</v>
      </c>
      <c r="B416" s="48">
        <f>'VaR Model'!D416</f>
        <v>6.3376444542068439E-3</v>
      </c>
      <c r="C416" s="47">
        <f>'VaR Model'!$G$16</f>
        <v>-2.1486122599356419E-2</v>
      </c>
      <c r="D416">
        <f t="shared" si="12"/>
        <v>0</v>
      </c>
      <c r="E416" s="53">
        <f>'VaR Model'!$G$21</f>
        <v>-1.5036332051297405E-2</v>
      </c>
      <c r="F416">
        <f t="shared" si="13"/>
        <v>0</v>
      </c>
    </row>
    <row r="417" spans="1:6" x14ac:dyDescent="0.35">
      <c r="A417" s="2">
        <f>'VaR Model'!C417</f>
        <v>45175</v>
      </c>
      <c r="B417" s="48">
        <f>'VaR Model'!D417</f>
        <v>-5.577211993770901E-5</v>
      </c>
      <c r="C417" s="47">
        <f>'VaR Model'!$G$16</f>
        <v>-2.1486122599356419E-2</v>
      </c>
      <c r="D417">
        <f t="shared" si="12"/>
        <v>0</v>
      </c>
      <c r="E417" s="53">
        <f>'VaR Model'!$G$21</f>
        <v>-1.5036332051297405E-2</v>
      </c>
      <c r="F417">
        <f t="shared" si="13"/>
        <v>0</v>
      </c>
    </row>
    <row r="418" spans="1:6" x14ac:dyDescent="0.35">
      <c r="A418" s="2">
        <f>'VaR Model'!C418</f>
        <v>45176</v>
      </c>
      <c r="B418" s="48">
        <f>'VaR Model'!D418</f>
        <v>1.219107472820589E-3</v>
      </c>
      <c r="C418" s="47">
        <f>'VaR Model'!$G$16</f>
        <v>-2.1486122599356419E-2</v>
      </c>
      <c r="D418">
        <f t="shared" si="12"/>
        <v>0</v>
      </c>
      <c r="E418" s="53">
        <f>'VaR Model'!$G$21</f>
        <v>-1.5036332051297405E-2</v>
      </c>
      <c r="F418">
        <f t="shared" si="13"/>
        <v>0</v>
      </c>
    </row>
    <row r="419" spans="1:6" x14ac:dyDescent="0.35">
      <c r="A419" s="2">
        <f>'VaR Model'!C419</f>
        <v>45177</v>
      </c>
      <c r="B419" s="48">
        <f>'VaR Model'!D419</f>
        <v>5.6382825950368801E-4</v>
      </c>
      <c r="C419" s="47">
        <f>'VaR Model'!$G$16</f>
        <v>-2.1486122599356419E-2</v>
      </c>
      <c r="D419">
        <f t="shared" si="12"/>
        <v>0</v>
      </c>
      <c r="E419" s="53">
        <f>'VaR Model'!$G$21</f>
        <v>-1.5036332051297405E-2</v>
      </c>
      <c r="F419">
        <f t="shared" si="13"/>
        <v>0</v>
      </c>
    </row>
    <row r="420" spans="1:6" x14ac:dyDescent="0.35">
      <c r="A420" s="2">
        <f>'VaR Model'!C420</f>
        <v>45180</v>
      </c>
      <c r="B420" s="48">
        <f>'VaR Model'!D420</f>
        <v>8.9438069712890131E-3</v>
      </c>
      <c r="C420" s="47">
        <f>'VaR Model'!$G$16</f>
        <v>-2.1486122599356419E-2</v>
      </c>
      <c r="D420">
        <f t="shared" si="12"/>
        <v>0</v>
      </c>
      <c r="E420" s="53">
        <f>'VaR Model'!$G$21</f>
        <v>-1.5036332051297405E-2</v>
      </c>
      <c r="F420">
        <f t="shared" si="13"/>
        <v>0</v>
      </c>
    </row>
    <row r="421" spans="1:6" x14ac:dyDescent="0.35">
      <c r="A421" s="2">
        <f>'VaR Model'!C421</f>
        <v>45181</v>
      </c>
      <c r="B421" s="48">
        <f>'VaR Model'!D421</f>
        <v>1.0319167647179153E-2</v>
      </c>
      <c r="C421" s="47">
        <f>'VaR Model'!$G$16</f>
        <v>-2.1486122599356419E-2</v>
      </c>
      <c r="D421">
        <f t="shared" si="12"/>
        <v>0</v>
      </c>
      <c r="E421" s="53">
        <f>'VaR Model'!$G$21</f>
        <v>-1.5036332051297405E-2</v>
      </c>
      <c r="F421">
        <f t="shared" si="13"/>
        <v>0</v>
      </c>
    </row>
    <row r="422" spans="1:6" x14ac:dyDescent="0.35">
      <c r="A422" s="2">
        <f>'VaR Model'!C422</f>
        <v>45182</v>
      </c>
      <c r="B422" s="48">
        <f>'VaR Model'!D422</f>
        <v>8.0737506417791769E-4</v>
      </c>
      <c r="C422" s="47">
        <f>'VaR Model'!$G$16</f>
        <v>-2.1486122599356419E-2</v>
      </c>
      <c r="D422">
        <f t="shared" si="12"/>
        <v>0</v>
      </c>
      <c r="E422" s="53">
        <f>'VaR Model'!$G$21</f>
        <v>-1.5036332051297405E-2</v>
      </c>
      <c r="F422">
        <f t="shared" si="13"/>
        <v>0</v>
      </c>
    </row>
    <row r="423" spans="1:6" x14ac:dyDescent="0.35">
      <c r="A423" s="2">
        <f>'VaR Model'!C423</f>
        <v>45183</v>
      </c>
      <c r="B423" s="48">
        <f>'VaR Model'!D423</f>
        <v>-1.1069203389120941E-3</v>
      </c>
      <c r="C423" s="47">
        <f>'VaR Model'!$G$16</f>
        <v>-2.1486122599356419E-2</v>
      </c>
      <c r="D423">
        <f t="shared" si="12"/>
        <v>0</v>
      </c>
      <c r="E423" s="53">
        <f>'VaR Model'!$G$21</f>
        <v>-1.5036332051297405E-2</v>
      </c>
      <c r="F423">
        <f t="shared" si="13"/>
        <v>0</v>
      </c>
    </row>
    <row r="424" spans="1:6" x14ac:dyDescent="0.35">
      <c r="A424" s="2">
        <f>'VaR Model'!C424</f>
        <v>45184</v>
      </c>
      <c r="B424" s="48">
        <f>'VaR Model'!D424</f>
        <v>3.3688678355201138E-3</v>
      </c>
      <c r="C424" s="47">
        <f>'VaR Model'!$G$16</f>
        <v>-2.1486122599356419E-2</v>
      </c>
      <c r="D424">
        <f t="shared" si="12"/>
        <v>0</v>
      </c>
      <c r="E424" s="53">
        <f>'VaR Model'!$G$21</f>
        <v>-1.5036332051297405E-2</v>
      </c>
      <c r="F424">
        <f t="shared" si="13"/>
        <v>0</v>
      </c>
    </row>
    <row r="425" spans="1:6" x14ac:dyDescent="0.35">
      <c r="A425" s="2">
        <f>'VaR Model'!C425</f>
        <v>45187</v>
      </c>
      <c r="B425" s="48">
        <f>'VaR Model'!D425</f>
        <v>-2.7624783566495572E-3</v>
      </c>
      <c r="C425" s="47">
        <f>'VaR Model'!$G$16</f>
        <v>-2.1486122599356419E-2</v>
      </c>
      <c r="D425">
        <f t="shared" si="12"/>
        <v>0</v>
      </c>
      <c r="E425" s="53">
        <f>'VaR Model'!$G$21</f>
        <v>-1.5036332051297405E-2</v>
      </c>
      <c r="F425">
        <f t="shared" si="13"/>
        <v>0</v>
      </c>
    </row>
    <row r="426" spans="1:6" x14ac:dyDescent="0.35">
      <c r="A426" s="2">
        <f>'VaR Model'!C426</f>
        <v>45189</v>
      </c>
      <c r="B426" s="48">
        <f>'VaR Model'!D426</f>
        <v>-4.936232343830887E-3</v>
      </c>
      <c r="C426" s="47">
        <f>'VaR Model'!$G$16</f>
        <v>-2.1486122599356419E-2</v>
      </c>
      <c r="D426">
        <f t="shared" si="12"/>
        <v>0</v>
      </c>
      <c r="E426" s="53">
        <f>'VaR Model'!$G$21</f>
        <v>-1.5036332051297405E-2</v>
      </c>
      <c r="F426">
        <f t="shared" si="13"/>
        <v>0</v>
      </c>
    </row>
    <row r="427" spans="1:6" x14ac:dyDescent="0.35">
      <c r="A427" s="2">
        <f>'VaR Model'!C427</f>
        <v>45190</v>
      </c>
      <c r="B427" s="48">
        <f>'VaR Model'!D427</f>
        <v>-9.2255996611770204E-3</v>
      </c>
      <c r="C427" s="47">
        <f>'VaR Model'!$G$16</f>
        <v>-2.1486122599356419E-2</v>
      </c>
      <c r="D427">
        <f t="shared" si="12"/>
        <v>0</v>
      </c>
      <c r="E427" s="53">
        <f>'VaR Model'!$G$21</f>
        <v>-1.5036332051297405E-2</v>
      </c>
      <c r="F427">
        <f t="shared" si="13"/>
        <v>0</v>
      </c>
    </row>
    <row r="428" spans="1:6" x14ac:dyDescent="0.35">
      <c r="A428" s="2">
        <f>'VaR Model'!C428</f>
        <v>45191</v>
      </c>
      <c r="B428" s="48">
        <f>'VaR Model'!D428</f>
        <v>-4.4206704400833186E-3</v>
      </c>
      <c r="C428" s="47">
        <f>'VaR Model'!$G$16</f>
        <v>-2.1486122599356419E-2</v>
      </c>
      <c r="D428">
        <f t="shared" si="12"/>
        <v>0</v>
      </c>
      <c r="E428" s="53">
        <f>'VaR Model'!$G$21</f>
        <v>-1.5036332051297405E-2</v>
      </c>
      <c r="F428">
        <f t="shared" si="13"/>
        <v>0</v>
      </c>
    </row>
    <row r="429" spans="1:6" x14ac:dyDescent="0.35">
      <c r="A429" s="2">
        <f>'VaR Model'!C429</f>
        <v>45194</v>
      </c>
      <c r="B429" s="48">
        <f>'VaR Model'!D429</f>
        <v>-4.6346118934960569E-3</v>
      </c>
      <c r="C429" s="47">
        <f>'VaR Model'!$G$16</f>
        <v>-2.1486122599356419E-2</v>
      </c>
      <c r="D429">
        <f t="shared" si="12"/>
        <v>0</v>
      </c>
      <c r="E429" s="53">
        <f>'VaR Model'!$G$21</f>
        <v>-1.5036332051297405E-2</v>
      </c>
      <c r="F429">
        <f t="shared" si="13"/>
        <v>0</v>
      </c>
    </row>
    <row r="430" spans="1:6" x14ac:dyDescent="0.35">
      <c r="A430" s="2">
        <f>'VaR Model'!C430</f>
        <v>45195</v>
      </c>
      <c r="B430" s="48">
        <f>'VaR Model'!D430</f>
        <v>-2.8605395537398721E-3</v>
      </c>
      <c r="C430" s="47">
        <f>'VaR Model'!$G$16</f>
        <v>-2.1486122599356419E-2</v>
      </c>
      <c r="D430">
        <f t="shared" si="12"/>
        <v>0</v>
      </c>
      <c r="E430" s="53">
        <f>'VaR Model'!$G$21</f>
        <v>-1.5036332051297405E-2</v>
      </c>
      <c r="F430">
        <f t="shared" si="13"/>
        <v>0</v>
      </c>
    </row>
    <row r="431" spans="1:6" x14ac:dyDescent="0.35">
      <c r="A431" s="2">
        <f>'VaR Model'!C431</f>
        <v>45196</v>
      </c>
      <c r="B431" s="48">
        <f>'VaR Model'!D431</f>
        <v>5.1334806815661917E-3</v>
      </c>
      <c r="C431" s="47">
        <f>'VaR Model'!$G$16</f>
        <v>-2.1486122599356419E-2</v>
      </c>
      <c r="D431">
        <f t="shared" si="12"/>
        <v>0</v>
      </c>
      <c r="E431" s="53">
        <f>'VaR Model'!$G$21</f>
        <v>-1.5036332051297405E-2</v>
      </c>
      <c r="F431">
        <f t="shared" si="13"/>
        <v>0</v>
      </c>
    </row>
    <row r="432" spans="1:6" x14ac:dyDescent="0.35">
      <c r="A432" s="2">
        <f>'VaR Model'!C432</f>
        <v>45197</v>
      </c>
      <c r="B432" s="48">
        <f>'VaR Model'!D432</f>
        <v>-1.3585651966684221E-2</v>
      </c>
      <c r="C432" s="47">
        <f>'VaR Model'!$G$16</f>
        <v>-2.1486122599356419E-2</v>
      </c>
      <c r="D432">
        <f t="shared" si="12"/>
        <v>0</v>
      </c>
      <c r="E432" s="53">
        <f>'VaR Model'!$G$21</f>
        <v>-1.5036332051297405E-2</v>
      </c>
      <c r="F432">
        <f t="shared" si="13"/>
        <v>0</v>
      </c>
    </row>
    <row r="433" spans="1:6" x14ac:dyDescent="0.35">
      <c r="A433" s="2">
        <f>'VaR Model'!C433</f>
        <v>45198</v>
      </c>
      <c r="B433" s="48">
        <f>'VaR Model'!D433</f>
        <v>3.5314728746783288E-3</v>
      </c>
      <c r="C433" s="47">
        <f>'VaR Model'!$G$16</f>
        <v>-2.1486122599356419E-2</v>
      </c>
      <c r="D433">
        <f t="shared" si="12"/>
        <v>0</v>
      </c>
      <c r="E433" s="53">
        <f>'VaR Model'!$G$21</f>
        <v>-1.5036332051297405E-2</v>
      </c>
      <c r="F433">
        <f t="shared" si="13"/>
        <v>0</v>
      </c>
    </row>
    <row r="434" spans="1:6" x14ac:dyDescent="0.35">
      <c r="A434" s="2">
        <f>'VaR Model'!C434</f>
        <v>45202</v>
      </c>
      <c r="B434" s="48">
        <f>'VaR Model'!D434</f>
        <v>-7.9019849543183543E-3</v>
      </c>
      <c r="C434" s="47">
        <f>'VaR Model'!$G$16</f>
        <v>-2.1486122599356419E-2</v>
      </c>
      <c r="D434">
        <f t="shared" si="12"/>
        <v>0</v>
      </c>
      <c r="E434" s="53">
        <f>'VaR Model'!$G$21</f>
        <v>-1.5036332051297405E-2</v>
      </c>
      <c r="F434">
        <f t="shared" si="13"/>
        <v>0</v>
      </c>
    </row>
    <row r="435" spans="1:6" x14ac:dyDescent="0.35">
      <c r="A435" s="2">
        <f>'VaR Model'!C435</f>
        <v>45203</v>
      </c>
      <c r="B435" s="48">
        <f>'VaR Model'!D435</f>
        <v>-1.4078684383040771E-3</v>
      </c>
      <c r="C435" s="47">
        <f>'VaR Model'!$G$16</f>
        <v>-2.1486122599356419E-2</v>
      </c>
      <c r="D435">
        <f t="shared" si="12"/>
        <v>0</v>
      </c>
      <c r="E435" s="53">
        <f>'VaR Model'!$G$21</f>
        <v>-1.5036332051297405E-2</v>
      </c>
      <c r="F435">
        <f t="shared" si="13"/>
        <v>0</v>
      </c>
    </row>
    <row r="436" spans="1:6" x14ac:dyDescent="0.35">
      <c r="A436" s="2">
        <f>'VaR Model'!C436</f>
        <v>45204</v>
      </c>
      <c r="B436" s="48">
        <f>'VaR Model'!D436</f>
        <v>7.8049052499415336E-3</v>
      </c>
      <c r="C436" s="47">
        <f>'VaR Model'!$G$16</f>
        <v>-2.1486122599356419E-2</v>
      </c>
      <c r="D436">
        <f t="shared" si="12"/>
        <v>0</v>
      </c>
      <c r="E436" s="53">
        <f>'VaR Model'!$G$21</f>
        <v>-1.5036332051297405E-2</v>
      </c>
      <c r="F436">
        <f t="shared" si="13"/>
        <v>0</v>
      </c>
    </row>
    <row r="437" spans="1:6" x14ac:dyDescent="0.35">
      <c r="A437" s="2">
        <f>'VaR Model'!C437</f>
        <v>45205</v>
      </c>
      <c r="B437" s="48">
        <f>'VaR Model'!D437</f>
        <v>7.8879711459264798E-3</v>
      </c>
      <c r="C437" s="47">
        <f>'VaR Model'!$G$16</f>
        <v>-2.1486122599356419E-2</v>
      </c>
      <c r="D437">
        <f t="shared" si="12"/>
        <v>0</v>
      </c>
      <c r="E437" s="53">
        <f>'VaR Model'!$G$21</f>
        <v>-1.5036332051297405E-2</v>
      </c>
      <c r="F437">
        <f t="shared" si="13"/>
        <v>0</v>
      </c>
    </row>
    <row r="438" spans="1:6" x14ac:dyDescent="0.35">
      <c r="A438" s="2">
        <f>'VaR Model'!C438</f>
        <v>45208</v>
      </c>
      <c r="B438" s="48">
        <f>'VaR Model'!D438</f>
        <v>-3.3892187217344823E-3</v>
      </c>
      <c r="C438" s="47">
        <f>'VaR Model'!$G$16</f>
        <v>-2.1486122599356419E-2</v>
      </c>
      <c r="D438">
        <f t="shared" si="12"/>
        <v>0</v>
      </c>
      <c r="E438" s="53">
        <f>'VaR Model'!$G$21</f>
        <v>-1.5036332051297405E-2</v>
      </c>
      <c r="F438">
        <f t="shared" si="13"/>
        <v>0</v>
      </c>
    </row>
    <row r="439" spans="1:6" x14ac:dyDescent="0.35">
      <c r="A439" s="2">
        <f>'VaR Model'!C439</f>
        <v>45209</v>
      </c>
      <c r="B439" s="48">
        <f>'VaR Model'!D439</f>
        <v>7.4670487036146245E-3</v>
      </c>
      <c r="C439" s="47">
        <f>'VaR Model'!$G$16</f>
        <v>-2.1486122599356419E-2</v>
      </c>
      <c r="D439">
        <f t="shared" si="12"/>
        <v>0</v>
      </c>
      <c r="E439" s="53">
        <f>'VaR Model'!$G$21</f>
        <v>-1.5036332051297405E-2</v>
      </c>
      <c r="F439">
        <f t="shared" si="13"/>
        <v>0</v>
      </c>
    </row>
    <row r="440" spans="1:6" x14ac:dyDescent="0.35">
      <c r="A440" s="2">
        <f>'VaR Model'!C440</f>
        <v>45210</v>
      </c>
      <c r="B440" s="48">
        <f>'VaR Model'!D440</f>
        <v>4.1252165569333876E-3</v>
      </c>
      <c r="C440" s="47">
        <f>'VaR Model'!$G$16</f>
        <v>-2.1486122599356419E-2</v>
      </c>
      <c r="D440">
        <f t="shared" si="12"/>
        <v>0</v>
      </c>
      <c r="E440" s="53">
        <f>'VaR Model'!$G$21</f>
        <v>-1.5036332051297405E-2</v>
      </c>
      <c r="F440">
        <f t="shared" si="13"/>
        <v>0</v>
      </c>
    </row>
    <row r="441" spans="1:6" x14ac:dyDescent="0.35">
      <c r="A441" s="2">
        <f>'VaR Model'!C441</f>
        <v>45211</v>
      </c>
      <c r="B441" s="48">
        <f>'VaR Model'!D441</f>
        <v>-5.9704084804678044E-3</v>
      </c>
      <c r="C441" s="47">
        <f>'VaR Model'!$G$16</f>
        <v>-2.1486122599356419E-2</v>
      </c>
      <c r="D441">
        <f t="shared" si="12"/>
        <v>0</v>
      </c>
      <c r="E441" s="53">
        <f>'VaR Model'!$G$21</f>
        <v>-1.5036332051297405E-2</v>
      </c>
      <c r="F441">
        <f t="shared" si="13"/>
        <v>0</v>
      </c>
    </row>
    <row r="442" spans="1:6" x14ac:dyDescent="0.35">
      <c r="A442" s="2">
        <f>'VaR Model'!C442</f>
        <v>45212</v>
      </c>
      <c r="B442" s="48">
        <f>'VaR Model'!D442</f>
        <v>-4.8291160308769846E-3</v>
      </c>
      <c r="C442" s="47">
        <f>'VaR Model'!$G$16</f>
        <v>-2.1486122599356419E-2</v>
      </c>
      <c r="D442">
        <f t="shared" si="12"/>
        <v>0</v>
      </c>
      <c r="E442" s="53">
        <f>'VaR Model'!$G$21</f>
        <v>-1.5036332051297405E-2</v>
      </c>
      <c r="F442">
        <f t="shared" si="13"/>
        <v>0</v>
      </c>
    </row>
    <row r="443" spans="1:6" x14ac:dyDescent="0.35">
      <c r="A443" s="2">
        <f>'VaR Model'!C443</f>
        <v>45215</v>
      </c>
      <c r="B443" s="48">
        <f>'VaR Model'!D443</f>
        <v>-2.3769268294697955E-3</v>
      </c>
      <c r="C443" s="47">
        <f>'VaR Model'!$G$16</f>
        <v>-2.1486122599356419E-2</v>
      </c>
      <c r="D443">
        <f t="shared" si="12"/>
        <v>0</v>
      </c>
      <c r="E443" s="53">
        <f>'VaR Model'!$G$21</f>
        <v>-1.5036332051297405E-2</v>
      </c>
      <c r="F443">
        <f t="shared" si="13"/>
        <v>0</v>
      </c>
    </row>
    <row r="444" spans="1:6" x14ac:dyDescent="0.35">
      <c r="A444" s="2">
        <f>'VaR Model'!C444</f>
        <v>45216</v>
      </c>
      <c r="B444" s="48">
        <f>'VaR Model'!D444</f>
        <v>3.6622766492466125E-3</v>
      </c>
      <c r="C444" s="47">
        <f>'VaR Model'!$G$16</f>
        <v>-2.1486122599356419E-2</v>
      </c>
      <c r="D444">
        <f t="shared" si="12"/>
        <v>0</v>
      </c>
      <c r="E444" s="53">
        <f>'VaR Model'!$G$21</f>
        <v>-1.5036332051297405E-2</v>
      </c>
      <c r="F444">
        <f t="shared" si="13"/>
        <v>0</v>
      </c>
    </row>
    <row r="445" spans="1:6" x14ac:dyDescent="0.35">
      <c r="A445" s="2">
        <f>'VaR Model'!C445</f>
        <v>45217</v>
      </c>
      <c r="B445" s="48">
        <f>'VaR Model'!D445</f>
        <v>-7.002068981403561E-3</v>
      </c>
      <c r="C445" s="47">
        <f>'VaR Model'!$G$16</f>
        <v>-2.1486122599356419E-2</v>
      </c>
      <c r="D445">
        <f t="shared" si="12"/>
        <v>0</v>
      </c>
      <c r="E445" s="53">
        <f>'VaR Model'!$G$21</f>
        <v>-1.5036332051297405E-2</v>
      </c>
      <c r="F445">
        <f t="shared" si="13"/>
        <v>0</v>
      </c>
    </row>
    <row r="446" spans="1:6" x14ac:dyDescent="0.35">
      <c r="A446" s="2">
        <f>'VaR Model'!C446</f>
        <v>45218</v>
      </c>
      <c r="B446" s="48">
        <f>'VaR Model'!D446</f>
        <v>-6.5843239824843001E-3</v>
      </c>
      <c r="C446" s="47">
        <f>'VaR Model'!$G$16</f>
        <v>-2.1486122599356419E-2</v>
      </c>
      <c r="D446">
        <f t="shared" si="12"/>
        <v>0</v>
      </c>
      <c r="E446" s="53">
        <f>'VaR Model'!$G$21</f>
        <v>-1.5036332051297405E-2</v>
      </c>
      <c r="F446">
        <f t="shared" si="13"/>
        <v>0</v>
      </c>
    </row>
    <row r="447" spans="1:6" x14ac:dyDescent="0.35">
      <c r="A447" s="2">
        <f>'VaR Model'!C447</f>
        <v>45219</v>
      </c>
      <c r="B447" s="48">
        <f>'VaR Model'!D447</f>
        <v>-5.3538677486835431E-3</v>
      </c>
      <c r="C447" s="47">
        <f>'VaR Model'!$G$16</f>
        <v>-2.1486122599356419E-2</v>
      </c>
      <c r="D447">
        <f t="shared" si="12"/>
        <v>0</v>
      </c>
      <c r="E447" s="53">
        <f>'VaR Model'!$G$21</f>
        <v>-1.5036332051297405E-2</v>
      </c>
      <c r="F447">
        <f t="shared" si="13"/>
        <v>0</v>
      </c>
    </row>
    <row r="448" spans="1:6" x14ac:dyDescent="0.35">
      <c r="A448" s="2">
        <f>'VaR Model'!C448</f>
        <v>45222</v>
      </c>
      <c r="B448" s="48">
        <f>'VaR Model'!D448</f>
        <v>-1.2359162669983669E-2</v>
      </c>
      <c r="C448" s="47">
        <f>'VaR Model'!$G$16</f>
        <v>-2.1486122599356419E-2</v>
      </c>
      <c r="D448">
        <f t="shared" si="12"/>
        <v>0</v>
      </c>
      <c r="E448" s="53">
        <f>'VaR Model'!$G$21</f>
        <v>-1.5036332051297405E-2</v>
      </c>
      <c r="F448">
        <f t="shared" si="13"/>
        <v>0</v>
      </c>
    </row>
    <row r="449" spans="1:6" x14ac:dyDescent="0.35">
      <c r="A449" s="2">
        <f>'VaR Model'!C449</f>
        <v>45224</v>
      </c>
      <c r="B449" s="48">
        <f>'VaR Model'!D449</f>
        <v>-1.1678157279546861E-2</v>
      </c>
      <c r="C449" s="47">
        <f>'VaR Model'!$G$16</f>
        <v>-2.1486122599356419E-2</v>
      </c>
      <c r="D449">
        <f t="shared" si="12"/>
        <v>0</v>
      </c>
      <c r="E449" s="53">
        <f>'VaR Model'!$G$21</f>
        <v>-1.5036332051297405E-2</v>
      </c>
      <c r="F449">
        <f t="shared" si="13"/>
        <v>0</v>
      </c>
    </row>
    <row r="450" spans="1:6" x14ac:dyDescent="0.35">
      <c r="A450" s="2">
        <f>'VaR Model'!C450</f>
        <v>45225</v>
      </c>
      <c r="B450" s="48">
        <f>'VaR Model'!D450</f>
        <v>-8.4028726008561986E-3</v>
      </c>
      <c r="C450" s="47">
        <f>'VaR Model'!$G$16</f>
        <v>-2.1486122599356419E-2</v>
      </c>
      <c r="D450">
        <f t="shared" si="12"/>
        <v>0</v>
      </c>
      <c r="E450" s="53">
        <f>'VaR Model'!$G$21</f>
        <v>-1.5036332051297405E-2</v>
      </c>
      <c r="F450">
        <f t="shared" si="13"/>
        <v>0</v>
      </c>
    </row>
    <row r="451" spans="1:6" x14ac:dyDescent="0.35">
      <c r="A451" s="2">
        <f>'VaR Model'!C451</f>
        <v>45226</v>
      </c>
      <c r="B451" s="48">
        <f>'VaR Model'!D451</f>
        <v>8.0227982413321342E-3</v>
      </c>
      <c r="C451" s="47">
        <f>'VaR Model'!$G$16</f>
        <v>-2.1486122599356419E-2</v>
      </c>
      <c r="D451">
        <f t="shared" ref="D451:D514" si="14">IF(B451&lt;C451,1,0)</f>
        <v>0</v>
      </c>
      <c r="E451" s="53">
        <f>'VaR Model'!$G$21</f>
        <v>-1.5036332051297405E-2</v>
      </c>
      <c r="F451">
        <f t="shared" ref="F451:F514" si="15">IF(B451&lt;E451,1,0)</f>
        <v>0</v>
      </c>
    </row>
    <row r="452" spans="1:6" x14ac:dyDescent="0.35">
      <c r="A452" s="2">
        <f>'VaR Model'!C452</f>
        <v>45229</v>
      </c>
      <c r="B452" s="48">
        <f>'VaR Model'!D452</f>
        <v>6.3603312024259426E-3</v>
      </c>
      <c r="C452" s="47">
        <f>'VaR Model'!$G$16</f>
        <v>-2.1486122599356419E-2</v>
      </c>
      <c r="D452">
        <f t="shared" si="14"/>
        <v>0</v>
      </c>
      <c r="E452" s="53">
        <f>'VaR Model'!$G$21</f>
        <v>-1.5036332051297405E-2</v>
      </c>
      <c r="F452">
        <f t="shared" si="15"/>
        <v>0</v>
      </c>
    </row>
    <row r="453" spans="1:6" x14ac:dyDescent="0.35">
      <c r="A453" s="2">
        <f>'VaR Model'!C453</f>
        <v>45230</v>
      </c>
      <c r="B453" s="48">
        <f>'VaR Model'!D453</f>
        <v>-7.0112235845863711E-3</v>
      </c>
      <c r="C453" s="47">
        <f>'VaR Model'!$G$16</f>
        <v>-2.1486122599356419E-2</v>
      </c>
      <c r="D453">
        <f t="shared" si="14"/>
        <v>0</v>
      </c>
      <c r="E453" s="53">
        <f>'VaR Model'!$G$21</f>
        <v>-1.5036332051297405E-2</v>
      </c>
      <c r="F453">
        <f t="shared" si="15"/>
        <v>0</v>
      </c>
    </row>
    <row r="454" spans="1:6" x14ac:dyDescent="0.35">
      <c r="A454" s="2">
        <f>'VaR Model'!C454</f>
        <v>45231</v>
      </c>
      <c r="B454" s="48">
        <f>'VaR Model'!D454</f>
        <v>-3.9619616469618946E-3</v>
      </c>
      <c r="C454" s="47">
        <f>'VaR Model'!$G$16</f>
        <v>-2.1486122599356419E-2</v>
      </c>
      <c r="D454">
        <f t="shared" si="14"/>
        <v>0</v>
      </c>
      <c r="E454" s="53">
        <f>'VaR Model'!$G$21</f>
        <v>-1.5036332051297405E-2</v>
      </c>
      <c r="F454">
        <f t="shared" si="15"/>
        <v>0</v>
      </c>
    </row>
    <row r="455" spans="1:6" x14ac:dyDescent="0.35">
      <c r="A455" s="2">
        <f>'VaR Model'!C455</f>
        <v>45232</v>
      </c>
      <c r="B455" s="48">
        <f>'VaR Model'!D455</f>
        <v>8.7887095556393891E-3</v>
      </c>
      <c r="C455" s="47">
        <f>'VaR Model'!$G$16</f>
        <v>-2.1486122599356419E-2</v>
      </c>
      <c r="D455">
        <f t="shared" si="14"/>
        <v>0</v>
      </c>
      <c r="E455" s="53">
        <f>'VaR Model'!$G$21</f>
        <v>-1.5036332051297405E-2</v>
      </c>
      <c r="F455">
        <f t="shared" si="15"/>
        <v>0</v>
      </c>
    </row>
    <row r="456" spans="1:6" x14ac:dyDescent="0.35">
      <c r="A456" s="2">
        <f>'VaR Model'!C456</f>
        <v>45233</v>
      </c>
      <c r="B456" s="48">
        <f>'VaR Model'!D456</f>
        <v>6.1118432775060091E-3</v>
      </c>
      <c r="C456" s="47">
        <f>'VaR Model'!$G$16</f>
        <v>-2.1486122599356419E-2</v>
      </c>
      <c r="D456">
        <f t="shared" si="14"/>
        <v>0</v>
      </c>
      <c r="E456" s="53">
        <f>'VaR Model'!$G$21</f>
        <v>-1.5036332051297405E-2</v>
      </c>
      <c r="F456">
        <f t="shared" si="15"/>
        <v>0</v>
      </c>
    </row>
    <row r="457" spans="1:6" x14ac:dyDescent="0.35">
      <c r="A457" s="2">
        <f>'VaR Model'!C457</f>
        <v>45236</v>
      </c>
      <c r="B457" s="48">
        <f>'VaR Model'!D457</f>
        <v>8.8907274241213675E-3</v>
      </c>
      <c r="C457" s="47">
        <f>'VaR Model'!$G$16</f>
        <v>-2.1486122599356419E-2</v>
      </c>
      <c r="D457">
        <f t="shared" si="14"/>
        <v>0</v>
      </c>
      <c r="E457" s="53">
        <f>'VaR Model'!$G$21</f>
        <v>-1.5036332051297405E-2</v>
      </c>
      <c r="F457">
        <f t="shared" si="15"/>
        <v>0</v>
      </c>
    </row>
    <row r="458" spans="1:6" x14ac:dyDescent="0.35">
      <c r="A458" s="2">
        <f>'VaR Model'!C458</f>
        <v>45237</v>
      </c>
      <c r="B458" s="48">
        <f>'VaR Model'!D458</f>
        <v>-2.4053207422819098E-3</v>
      </c>
      <c r="C458" s="47">
        <f>'VaR Model'!$G$16</f>
        <v>-2.1486122599356419E-2</v>
      </c>
      <c r="D458">
        <f t="shared" si="14"/>
        <v>0</v>
      </c>
      <c r="E458" s="53">
        <f>'VaR Model'!$G$21</f>
        <v>-1.5036332051297405E-2</v>
      </c>
      <c r="F458">
        <f t="shared" si="15"/>
        <v>0</v>
      </c>
    </row>
    <row r="459" spans="1:6" x14ac:dyDescent="0.35">
      <c r="A459" s="2">
        <f>'VaR Model'!C459</f>
        <v>45238</v>
      </c>
      <c r="B459" s="48">
        <f>'VaR Model'!D459</f>
        <v>-8.7588125864048036E-4</v>
      </c>
      <c r="C459" s="47">
        <f>'VaR Model'!$G$16</f>
        <v>-2.1486122599356419E-2</v>
      </c>
      <c r="D459">
        <f t="shared" si="14"/>
        <v>0</v>
      </c>
      <c r="E459" s="53">
        <f>'VaR Model'!$G$21</f>
        <v>-1.5036332051297405E-2</v>
      </c>
      <c r="F459">
        <f t="shared" si="15"/>
        <v>0</v>
      </c>
    </row>
    <row r="460" spans="1:6" x14ac:dyDescent="0.35">
      <c r="A460" s="2">
        <f>'VaR Model'!C460</f>
        <v>45239</v>
      </c>
      <c r="B460" s="48">
        <f>'VaR Model'!D460</f>
        <v>-7.377746544474633E-3</v>
      </c>
      <c r="C460" s="47">
        <f>'VaR Model'!$G$16</f>
        <v>-2.1486122599356419E-2</v>
      </c>
      <c r="D460">
        <f t="shared" si="14"/>
        <v>0</v>
      </c>
      <c r="E460" s="53">
        <f>'VaR Model'!$G$21</f>
        <v>-1.5036332051297405E-2</v>
      </c>
      <c r="F460">
        <f t="shared" si="15"/>
        <v>0</v>
      </c>
    </row>
    <row r="461" spans="1:6" x14ac:dyDescent="0.35">
      <c r="A461" s="2">
        <f>'VaR Model'!C461</f>
        <v>45240</v>
      </c>
      <c r="B461" s="48">
        <f>'VaR Model'!D461</f>
        <v>-7.846368484133075E-5</v>
      </c>
      <c r="C461" s="47">
        <f>'VaR Model'!$G$16</f>
        <v>-2.1486122599356419E-2</v>
      </c>
      <c r="D461">
        <f t="shared" si="14"/>
        <v>0</v>
      </c>
      <c r="E461" s="53">
        <f>'VaR Model'!$G$21</f>
        <v>-1.5036332051297405E-2</v>
      </c>
      <c r="F461">
        <f t="shared" si="15"/>
        <v>0</v>
      </c>
    </row>
    <row r="462" spans="1:6" x14ac:dyDescent="0.35">
      <c r="A462" s="2">
        <f>'VaR Model'!C462</f>
        <v>45242</v>
      </c>
      <c r="B462" s="48">
        <f>'VaR Model'!D462</f>
        <v>2.050043524727365E-2</v>
      </c>
      <c r="C462" s="47">
        <f>'VaR Model'!$G$16</f>
        <v>-2.1486122599356419E-2</v>
      </c>
      <c r="D462">
        <f t="shared" si="14"/>
        <v>0</v>
      </c>
      <c r="E462" s="53">
        <f>'VaR Model'!$G$21</f>
        <v>-1.5036332051297405E-2</v>
      </c>
      <c r="F462">
        <f t="shared" si="15"/>
        <v>0</v>
      </c>
    </row>
    <row r="463" spans="1:6" x14ac:dyDescent="0.35">
      <c r="A463" s="2">
        <f>'VaR Model'!C463</f>
        <v>45243</v>
      </c>
      <c r="B463" s="48">
        <f>'VaR Model'!D463</f>
        <v>-2.1093558108314515E-2</v>
      </c>
      <c r="C463" s="47">
        <f>'VaR Model'!$G$16</f>
        <v>-2.1486122599356419E-2</v>
      </c>
      <c r="D463">
        <f t="shared" si="14"/>
        <v>0</v>
      </c>
      <c r="E463" s="53">
        <f>'VaR Model'!$G$21</f>
        <v>-1.5036332051297405E-2</v>
      </c>
      <c r="F463">
        <f t="shared" si="15"/>
        <v>1</v>
      </c>
    </row>
    <row r="464" spans="1:6" x14ac:dyDescent="0.35">
      <c r="A464" s="2">
        <f>'VaR Model'!C464</f>
        <v>45245</v>
      </c>
      <c r="B464" s="48">
        <f>'VaR Model'!D464</f>
        <v>1.7342985177588144E-2</v>
      </c>
      <c r="C464" s="47">
        <f>'VaR Model'!$G$16</f>
        <v>-2.1486122599356419E-2</v>
      </c>
      <c r="D464">
        <f t="shared" si="14"/>
        <v>0</v>
      </c>
      <c r="E464" s="53">
        <f>'VaR Model'!$G$21</f>
        <v>-1.5036332051297405E-2</v>
      </c>
      <c r="F464">
        <f t="shared" si="15"/>
        <v>0</v>
      </c>
    </row>
    <row r="465" spans="1:6" x14ac:dyDescent="0.35">
      <c r="A465" s="2">
        <f>'VaR Model'!C465</f>
        <v>45246</v>
      </c>
      <c r="B465" s="48">
        <f>'VaR Model'!D465</f>
        <v>8.0164179279744053E-3</v>
      </c>
      <c r="C465" s="47">
        <f>'VaR Model'!$G$16</f>
        <v>-2.1486122599356419E-2</v>
      </c>
      <c r="D465">
        <f t="shared" si="14"/>
        <v>0</v>
      </c>
      <c r="E465" s="53">
        <f>'VaR Model'!$G$21</f>
        <v>-1.5036332051297405E-2</v>
      </c>
      <c r="F465">
        <f t="shared" si="15"/>
        <v>0</v>
      </c>
    </row>
    <row r="466" spans="1:6" x14ac:dyDescent="0.35">
      <c r="A466" s="2">
        <f>'VaR Model'!C466</f>
        <v>45247</v>
      </c>
      <c r="B466" s="48">
        <f>'VaR Model'!D466</f>
        <v>-3.9652206411089248E-3</v>
      </c>
      <c r="C466" s="47">
        <f>'VaR Model'!$G$16</f>
        <v>-2.1486122599356419E-2</v>
      </c>
      <c r="D466">
        <f t="shared" si="14"/>
        <v>0</v>
      </c>
      <c r="E466" s="53">
        <f>'VaR Model'!$G$21</f>
        <v>-1.5036332051297405E-2</v>
      </c>
      <c r="F466">
        <f t="shared" si="15"/>
        <v>0</v>
      </c>
    </row>
    <row r="467" spans="1:6" x14ac:dyDescent="0.35">
      <c r="A467" s="2">
        <f>'VaR Model'!C467</f>
        <v>45250</v>
      </c>
      <c r="B467" s="48">
        <f>'VaR Model'!D467</f>
        <v>-8.8834363327096994E-4</v>
      </c>
      <c r="C467" s="47">
        <f>'VaR Model'!$G$16</f>
        <v>-2.1486122599356419E-2</v>
      </c>
      <c r="D467">
        <f t="shared" si="14"/>
        <v>0</v>
      </c>
      <c r="E467" s="53">
        <f>'VaR Model'!$G$21</f>
        <v>-1.5036332051297405E-2</v>
      </c>
      <c r="F467">
        <f t="shared" si="15"/>
        <v>0</v>
      </c>
    </row>
    <row r="468" spans="1:6" x14ac:dyDescent="0.35">
      <c r="A468" s="2">
        <f>'VaR Model'!C468</f>
        <v>45251</v>
      </c>
      <c r="B468" s="48">
        <f>'VaR Model'!D468</f>
        <v>3.0532171436468926E-3</v>
      </c>
      <c r="C468" s="47">
        <f>'VaR Model'!$G$16</f>
        <v>-2.1486122599356419E-2</v>
      </c>
      <c r="D468">
        <f t="shared" si="14"/>
        <v>0</v>
      </c>
      <c r="E468" s="53">
        <f>'VaR Model'!$G$21</f>
        <v>-1.5036332051297405E-2</v>
      </c>
      <c r="F468">
        <f t="shared" si="15"/>
        <v>0</v>
      </c>
    </row>
    <row r="469" spans="1:6" x14ac:dyDescent="0.35">
      <c r="A469" s="2">
        <f>'VaR Model'!C469</f>
        <v>45252</v>
      </c>
      <c r="B469" s="48">
        <f>'VaR Model'!D469</f>
        <v>5.3581471687913981E-3</v>
      </c>
      <c r="C469" s="47">
        <f>'VaR Model'!$G$16</f>
        <v>-2.1486122599356419E-2</v>
      </c>
      <c r="D469">
        <f t="shared" si="14"/>
        <v>0</v>
      </c>
      <c r="E469" s="53">
        <f>'VaR Model'!$G$21</f>
        <v>-1.5036332051297405E-2</v>
      </c>
      <c r="F469">
        <f t="shared" si="15"/>
        <v>0</v>
      </c>
    </row>
    <row r="470" spans="1:6" x14ac:dyDescent="0.35">
      <c r="A470" s="2">
        <f>'VaR Model'!C470</f>
        <v>45253</v>
      </c>
      <c r="B470" s="48">
        <f>'VaR Model'!D470</f>
        <v>-1.458357993937984E-3</v>
      </c>
      <c r="C470" s="47">
        <f>'VaR Model'!$G$16</f>
        <v>-2.1486122599356419E-2</v>
      </c>
      <c r="D470">
        <f t="shared" si="14"/>
        <v>0</v>
      </c>
      <c r="E470" s="53">
        <f>'VaR Model'!$G$21</f>
        <v>-1.5036332051297405E-2</v>
      </c>
      <c r="F470">
        <f t="shared" si="15"/>
        <v>0</v>
      </c>
    </row>
    <row r="471" spans="1:6" x14ac:dyDescent="0.35">
      <c r="A471" s="2">
        <f>'VaR Model'!C471</f>
        <v>45254</v>
      </c>
      <c r="B471" s="48">
        <f>'VaR Model'!D471</f>
        <v>-4.4970191963549519E-3</v>
      </c>
      <c r="C471" s="47">
        <f>'VaR Model'!$G$16</f>
        <v>-2.1486122599356419E-2</v>
      </c>
      <c r="D471">
        <f t="shared" si="14"/>
        <v>0</v>
      </c>
      <c r="E471" s="53">
        <f>'VaR Model'!$G$21</f>
        <v>-1.5036332051297405E-2</v>
      </c>
      <c r="F471">
        <f t="shared" si="15"/>
        <v>0</v>
      </c>
    </row>
    <row r="472" spans="1:6" x14ac:dyDescent="0.35">
      <c r="A472" s="2">
        <f>'VaR Model'!C472</f>
        <v>45258</v>
      </c>
      <c r="B472" s="48">
        <f>'VaR Model'!D472</f>
        <v>-4.7684538771087105E-4</v>
      </c>
      <c r="C472" s="47">
        <f>'VaR Model'!$G$16</f>
        <v>-2.1486122599356419E-2</v>
      </c>
      <c r="D472">
        <f t="shared" si="14"/>
        <v>0</v>
      </c>
      <c r="E472" s="53">
        <f>'VaR Model'!$G$21</f>
        <v>-1.5036332051297405E-2</v>
      </c>
      <c r="F472">
        <f t="shared" si="15"/>
        <v>0</v>
      </c>
    </row>
    <row r="473" spans="1:6" x14ac:dyDescent="0.35">
      <c r="A473" s="2">
        <f>'VaR Model'!C473</f>
        <v>45259</v>
      </c>
      <c r="B473" s="48">
        <f>'VaR Model'!D473</f>
        <v>9.2727137365218853E-3</v>
      </c>
      <c r="C473" s="47">
        <f>'VaR Model'!$G$16</f>
        <v>-2.1486122599356419E-2</v>
      </c>
      <c r="D473">
        <f t="shared" si="14"/>
        <v>0</v>
      </c>
      <c r="E473" s="53">
        <f>'VaR Model'!$G$21</f>
        <v>-1.5036332051297405E-2</v>
      </c>
      <c r="F473">
        <f t="shared" si="15"/>
        <v>0</v>
      </c>
    </row>
    <row r="474" spans="1:6" x14ac:dyDescent="0.35">
      <c r="A474" s="2">
        <f>'VaR Model'!C474</f>
        <v>45260</v>
      </c>
      <c r="B474" s="48">
        <f>'VaR Model'!D474</f>
        <v>-5.6890379453986908E-3</v>
      </c>
      <c r="C474" s="47">
        <f>'VaR Model'!$G$16</f>
        <v>-2.1486122599356419E-2</v>
      </c>
      <c r="D474">
        <f t="shared" si="14"/>
        <v>0</v>
      </c>
      <c r="E474" s="53">
        <f>'VaR Model'!$G$21</f>
        <v>-1.5036332051297405E-2</v>
      </c>
      <c r="F474">
        <f t="shared" si="15"/>
        <v>0</v>
      </c>
    </row>
    <row r="475" spans="1:6" x14ac:dyDescent="0.35">
      <c r="A475" s="2">
        <f>'VaR Model'!C475</f>
        <v>45261</v>
      </c>
      <c r="B475" s="48">
        <f>'VaR Model'!D475</f>
        <v>1.1220815402232583E-2</v>
      </c>
      <c r="C475" s="47">
        <f>'VaR Model'!$G$16</f>
        <v>-2.1486122599356419E-2</v>
      </c>
      <c r="D475">
        <f t="shared" si="14"/>
        <v>0</v>
      </c>
      <c r="E475" s="53">
        <f>'VaR Model'!$G$21</f>
        <v>-1.5036332051297405E-2</v>
      </c>
      <c r="F475">
        <f t="shared" si="15"/>
        <v>0</v>
      </c>
    </row>
    <row r="476" spans="1:6" x14ac:dyDescent="0.35">
      <c r="A476" s="2">
        <f>'VaR Model'!C476</f>
        <v>45264</v>
      </c>
      <c r="B476" s="48">
        <f>'VaR Model'!D476</f>
        <v>1.491727366188584E-2</v>
      </c>
      <c r="C476" s="47">
        <f>'VaR Model'!$G$16</f>
        <v>-2.1486122599356419E-2</v>
      </c>
      <c r="D476">
        <f t="shared" si="14"/>
        <v>0</v>
      </c>
      <c r="E476" s="53">
        <f>'VaR Model'!$G$21</f>
        <v>-1.5036332051297405E-2</v>
      </c>
      <c r="F476">
        <f t="shared" si="15"/>
        <v>0</v>
      </c>
    </row>
    <row r="477" spans="1:6" x14ac:dyDescent="0.35">
      <c r="A477" s="2">
        <f>'VaR Model'!C477</f>
        <v>45265</v>
      </c>
      <c r="B477" s="48">
        <f>'VaR Model'!D477</f>
        <v>4.5302072926135329E-3</v>
      </c>
      <c r="C477" s="47">
        <f>'VaR Model'!$G$16</f>
        <v>-2.1486122599356419E-2</v>
      </c>
      <c r="D477">
        <f t="shared" si="14"/>
        <v>0</v>
      </c>
      <c r="E477" s="53">
        <f>'VaR Model'!$G$21</f>
        <v>-1.5036332051297405E-2</v>
      </c>
      <c r="F477">
        <f t="shared" si="15"/>
        <v>0</v>
      </c>
    </row>
    <row r="478" spans="1:6" x14ac:dyDescent="0.35">
      <c r="A478" s="2">
        <f>'VaR Model'!C478</f>
        <v>45266</v>
      </c>
      <c r="B478" s="48">
        <f>'VaR Model'!D478</f>
        <v>1.1755506436964297E-2</v>
      </c>
      <c r="C478" s="47">
        <f>'VaR Model'!$G$16</f>
        <v>-2.1486122599356419E-2</v>
      </c>
      <c r="D478">
        <f t="shared" si="14"/>
        <v>0</v>
      </c>
      <c r="E478" s="53">
        <f>'VaR Model'!$G$21</f>
        <v>-1.5036332051297405E-2</v>
      </c>
      <c r="F478">
        <f t="shared" si="15"/>
        <v>0</v>
      </c>
    </row>
    <row r="479" spans="1:6" x14ac:dyDescent="0.35">
      <c r="A479" s="2">
        <f>'VaR Model'!C479</f>
        <v>45267</v>
      </c>
      <c r="B479" s="48">
        <f>'VaR Model'!D479</f>
        <v>-3.9565612345553803E-3</v>
      </c>
      <c r="C479" s="47">
        <f>'VaR Model'!$G$16</f>
        <v>-2.1486122599356419E-2</v>
      </c>
      <c r="D479">
        <f t="shared" si="14"/>
        <v>0</v>
      </c>
      <c r="E479" s="53">
        <f>'VaR Model'!$G$21</f>
        <v>-1.5036332051297405E-2</v>
      </c>
      <c r="F479">
        <f t="shared" si="15"/>
        <v>0</v>
      </c>
    </row>
    <row r="480" spans="1:6" x14ac:dyDescent="0.35">
      <c r="A480" s="2">
        <f>'VaR Model'!C480</f>
        <v>45268</v>
      </c>
      <c r="B480" s="48">
        <f>'VaR Model'!D480</f>
        <v>2.3709351631995522E-3</v>
      </c>
      <c r="C480" s="47">
        <f>'VaR Model'!$G$16</f>
        <v>-2.1486122599356419E-2</v>
      </c>
      <c r="D480">
        <f t="shared" si="14"/>
        <v>0</v>
      </c>
      <c r="E480" s="53">
        <f>'VaR Model'!$G$21</f>
        <v>-1.5036332051297405E-2</v>
      </c>
      <c r="F480">
        <f t="shared" si="15"/>
        <v>0</v>
      </c>
    </row>
    <row r="481" spans="1:6" x14ac:dyDescent="0.35">
      <c r="A481" s="2">
        <f>'VaR Model'!C481</f>
        <v>45271</v>
      </c>
      <c r="B481" s="48">
        <f>'VaR Model'!D481</f>
        <v>3.5255588048167265E-3</v>
      </c>
      <c r="C481" s="47">
        <f>'VaR Model'!$G$16</f>
        <v>-2.1486122599356419E-2</v>
      </c>
      <c r="D481">
        <f t="shared" si="14"/>
        <v>0</v>
      </c>
      <c r="E481" s="53">
        <f>'VaR Model'!$G$21</f>
        <v>-1.5036332051297405E-2</v>
      </c>
      <c r="F481">
        <f t="shared" si="15"/>
        <v>0</v>
      </c>
    </row>
    <row r="482" spans="1:6" x14ac:dyDescent="0.35">
      <c r="A482" s="2">
        <f>'VaR Model'!C482</f>
        <v>45272</v>
      </c>
      <c r="B482" s="48">
        <f>'VaR Model'!D482</f>
        <v>-2.9608437935464988E-3</v>
      </c>
      <c r="C482" s="47">
        <f>'VaR Model'!$G$16</f>
        <v>-2.1486122599356419E-2</v>
      </c>
      <c r="D482">
        <f t="shared" si="14"/>
        <v>0</v>
      </c>
      <c r="E482" s="53">
        <f>'VaR Model'!$G$21</f>
        <v>-1.5036332051297405E-2</v>
      </c>
      <c r="F482">
        <f t="shared" si="15"/>
        <v>0</v>
      </c>
    </row>
    <row r="483" spans="1:6" x14ac:dyDescent="0.35">
      <c r="A483" s="2">
        <f>'VaR Model'!C483</f>
        <v>45273</v>
      </c>
      <c r="B483" s="48">
        <f>'VaR Model'!D483</f>
        <v>-6.4435110173771707E-3</v>
      </c>
      <c r="C483" s="47">
        <f>'VaR Model'!$G$16</f>
        <v>-2.1486122599356419E-2</v>
      </c>
      <c r="D483">
        <f t="shared" si="14"/>
        <v>0</v>
      </c>
      <c r="E483" s="53">
        <f>'VaR Model'!$G$21</f>
        <v>-1.5036332051297405E-2</v>
      </c>
      <c r="F483">
        <f t="shared" si="15"/>
        <v>0</v>
      </c>
    </row>
    <row r="484" spans="1:6" x14ac:dyDescent="0.35">
      <c r="A484" s="2">
        <f>'VaR Model'!C484</f>
        <v>45274</v>
      </c>
      <c r="B484" s="48">
        <f>'VaR Model'!D484</f>
        <v>1.9440928620878591E-2</v>
      </c>
      <c r="C484" s="47">
        <f>'VaR Model'!$G$16</f>
        <v>-2.1486122599356419E-2</v>
      </c>
      <c r="D484">
        <f t="shared" si="14"/>
        <v>0</v>
      </c>
      <c r="E484" s="53">
        <f>'VaR Model'!$G$21</f>
        <v>-1.5036332051297405E-2</v>
      </c>
      <c r="F484">
        <f t="shared" si="15"/>
        <v>0</v>
      </c>
    </row>
    <row r="485" spans="1:6" x14ac:dyDescent="0.35">
      <c r="A485" s="2">
        <f>'VaR Model'!C485</f>
        <v>45275</v>
      </c>
      <c r="B485" s="48">
        <f>'VaR Model'!D485</f>
        <v>2.2725418581646988E-2</v>
      </c>
      <c r="C485" s="47">
        <f>'VaR Model'!$G$16</f>
        <v>-2.1486122599356419E-2</v>
      </c>
      <c r="D485">
        <f t="shared" si="14"/>
        <v>0</v>
      </c>
      <c r="E485" s="53">
        <f>'VaR Model'!$G$21</f>
        <v>-1.5036332051297405E-2</v>
      </c>
      <c r="F485">
        <f t="shared" si="15"/>
        <v>0</v>
      </c>
    </row>
    <row r="486" spans="1:6" x14ac:dyDescent="0.35">
      <c r="A486" s="2">
        <f>'VaR Model'!C486</f>
        <v>45278</v>
      </c>
      <c r="B486" s="48">
        <f>'VaR Model'!D486</f>
        <v>-5.8328087336530741E-3</v>
      </c>
      <c r="C486" s="47">
        <f>'VaR Model'!$G$16</f>
        <v>-2.1486122599356419E-2</v>
      </c>
      <c r="D486">
        <f t="shared" si="14"/>
        <v>0</v>
      </c>
      <c r="E486" s="53">
        <f>'VaR Model'!$G$21</f>
        <v>-1.5036332051297405E-2</v>
      </c>
      <c r="F486">
        <f t="shared" si="15"/>
        <v>0</v>
      </c>
    </row>
    <row r="487" spans="1:6" x14ac:dyDescent="0.35">
      <c r="A487" s="2">
        <f>'VaR Model'!C487</f>
        <v>45279</v>
      </c>
      <c r="B487" s="48">
        <f>'VaR Model'!D487</f>
        <v>6.8951066694830903E-4</v>
      </c>
      <c r="C487" s="47">
        <f>'VaR Model'!$G$16</f>
        <v>-2.1486122599356419E-2</v>
      </c>
      <c r="D487">
        <f t="shared" si="14"/>
        <v>0</v>
      </c>
      <c r="E487" s="53">
        <f>'VaR Model'!$G$21</f>
        <v>-1.5036332051297405E-2</v>
      </c>
      <c r="F487">
        <f t="shared" si="15"/>
        <v>0</v>
      </c>
    </row>
    <row r="488" spans="1:6" x14ac:dyDescent="0.35">
      <c r="A488" s="2">
        <f>'VaR Model'!C488</f>
        <v>45280</v>
      </c>
      <c r="B488" s="48">
        <f>'VaR Model'!D488</f>
        <v>-1.1161976003571609E-2</v>
      </c>
      <c r="C488" s="47">
        <f>'VaR Model'!$G$16</f>
        <v>-2.1486122599356419E-2</v>
      </c>
      <c r="D488">
        <f t="shared" si="14"/>
        <v>0</v>
      </c>
      <c r="E488" s="53">
        <f>'VaR Model'!$G$21</f>
        <v>-1.5036332051297405E-2</v>
      </c>
      <c r="F488">
        <f t="shared" si="15"/>
        <v>0</v>
      </c>
    </row>
    <row r="489" spans="1:6" x14ac:dyDescent="0.35">
      <c r="A489" s="2">
        <f>'VaR Model'!C489</f>
        <v>45281</v>
      </c>
      <c r="B489" s="48">
        <f>'VaR Model'!D489</f>
        <v>2.8787643992738E-3</v>
      </c>
      <c r="C489" s="47">
        <f>'VaR Model'!$G$16</f>
        <v>-2.1486122599356419E-2</v>
      </c>
      <c r="D489">
        <f t="shared" si="14"/>
        <v>0</v>
      </c>
      <c r="E489" s="53">
        <f>'VaR Model'!$G$21</f>
        <v>-1.5036332051297405E-2</v>
      </c>
      <c r="F489">
        <f t="shared" si="15"/>
        <v>0</v>
      </c>
    </row>
    <row r="490" spans="1:6" x14ac:dyDescent="0.35">
      <c r="A490" s="2">
        <f>'VaR Model'!C490</f>
        <v>45282</v>
      </c>
      <c r="B490" s="48">
        <f>'VaR Model'!D490</f>
        <v>5.2197387935411666E-3</v>
      </c>
      <c r="C490" s="47">
        <f>'VaR Model'!$G$16</f>
        <v>-2.1486122599356419E-2</v>
      </c>
      <c r="D490">
        <f t="shared" si="14"/>
        <v>0</v>
      </c>
      <c r="E490" s="53">
        <f>'VaR Model'!$G$21</f>
        <v>-1.5036332051297405E-2</v>
      </c>
      <c r="F490">
        <f t="shared" si="15"/>
        <v>0</v>
      </c>
    </row>
    <row r="491" spans="1:6" x14ac:dyDescent="0.35">
      <c r="A491" s="2">
        <f>'VaR Model'!C491</f>
        <v>45286</v>
      </c>
      <c r="B491" s="48">
        <f>'VaR Model'!D491</f>
        <v>-2.2137074054270657E-3</v>
      </c>
      <c r="C491" s="47">
        <f>'VaR Model'!$G$16</f>
        <v>-2.1486122599356419E-2</v>
      </c>
      <c r="D491">
        <f t="shared" si="14"/>
        <v>0</v>
      </c>
      <c r="E491" s="53">
        <f>'VaR Model'!$G$21</f>
        <v>-1.5036332051297405E-2</v>
      </c>
      <c r="F491">
        <f t="shared" si="15"/>
        <v>0</v>
      </c>
    </row>
    <row r="492" spans="1:6" x14ac:dyDescent="0.35">
      <c r="A492" s="2">
        <f>'VaR Model'!C492</f>
        <v>45287</v>
      </c>
      <c r="B492" s="48">
        <f>'VaR Model'!D492</f>
        <v>6.1953306407177729E-3</v>
      </c>
      <c r="C492" s="47">
        <f>'VaR Model'!$G$16</f>
        <v>-2.1486122599356419E-2</v>
      </c>
      <c r="D492">
        <f t="shared" si="14"/>
        <v>0</v>
      </c>
      <c r="E492" s="53">
        <f>'VaR Model'!$G$21</f>
        <v>-1.5036332051297405E-2</v>
      </c>
      <c r="F492">
        <f t="shared" si="15"/>
        <v>0</v>
      </c>
    </row>
    <row r="493" spans="1:6" x14ac:dyDescent="0.35">
      <c r="A493" s="2">
        <f>'VaR Model'!C493</f>
        <v>45288</v>
      </c>
      <c r="B493" s="48">
        <f>'VaR Model'!D493</f>
        <v>4.0479743654484313E-3</v>
      </c>
      <c r="C493" s="47">
        <f>'VaR Model'!$G$16</f>
        <v>-2.1486122599356419E-2</v>
      </c>
      <c r="D493">
        <f t="shared" si="14"/>
        <v>0</v>
      </c>
      <c r="E493" s="53">
        <f>'VaR Model'!$G$21</f>
        <v>-1.5036332051297405E-2</v>
      </c>
      <c r="F493">
        <f t="shared" si="15"/>
        <v>0</v>
      </c>
    </row>
    <row r="494" spans="1:6" x14ac:dyDescent="0.35">
      <c r="A494" s="2">
        <f>'VaR Model'!C494</f>
        <v>45289</v>
      </c>
      <c r="B494" s="48">
        <f>'VaR Model'!D494</f>
        <v>-7.2005057761350758E-3</v>
      </c>
      <c r="C494" s="47">
        <f>'VaR Model'!$G$16</f>
        <v>-2.1486122599356419E-2</v>
      </c>
      <c r="D494">
        <f t="shared" si="14"/>
        <v>0</v>
      </c>
      <c r="E494" s="53">
        <f>'VaR Model'!$G$21</f>
        <v>-1.5036332051297405E-2</v>
      </c>
      <c r="F494">
        <f t="shared" si="15"/>
        <v>0</v>
      </c>
    </row>
    <row r="495" spans="1:6" x14ac:dyDescent="0.35">
      <c r="A495" s="2">
        <f>'VaR Model'!C495</f>
        <v>45292</v>
      </c>
      <c r="B495" s="48">
        <f>'VaR Model'!D495</f>
        <v>5.5555383193305651E-3</v>
      </c>
      <c r="C495" s="47">
        <f>'VaR Model'!$G$16</f>
        <v>-2.1486122599356419E-2</v>
      </c>
      <c r="D495">
        <f t="shared" si="14"/>
        <v>0</v>
      </c>
      <c r="E495" s="53">
        <f>'VaR Model'!$G$21</f>
        <v>-1.5036332051297405E-2</v>
      </c>
      <c r="F495">
        <f t="shared" si="15"/>
        <v>0</v>
      </c>
    </row>
    <row r="496" spans="1:6" x14ac:dyDescent="0.35">
      <c r="A496" s="2">
        <f>'VaR Model'!C496</f>
        <v>45293</v>
      </c>
      <c r="B496" s="48">
        <f>'VaR Model'!D496</f>
        <v>-4.4982857942739022E-3</v>
      </c>
      <c r="C496" s="47">
        <f>'VaR Model'!$G$16</f>
        <v>-2.1486122599356419E-2</v>
      </c>
      <c r="D496">
        <f t="shared" si="14"/>
        <v>0</v>
      </c>
      <c r="E496" s="53">
        <f>'VaR Model'!$G$21</f>
        <v>-1.5036332051297405E-2</v>
      </c>
      <c r="F496">
        <f t="shared" si="15"/>
        <v>0</v>
      </c>
    </row>
    <row r="497" spans="1:6" x14ac:dyDescent="0.35">
      <c r="A497" s="2">
        <f>'VaR Model'!C497</f>
        <v>45294</v>
      </c>
      <c r="B497" s="48">
        <f>'VaR Model'!D497</f>
        <v>-9.6777600655586372E-3</v>
      </c>
      <c r="C497" s="47">
        <f>'VaR Model'!$G$16</f>
        <v>-2.1486122599356419E-2</v>
      </c>
      <c r="D497">
        <f t="shared" si="14"/>
        <v>0</v>
      </c>
      <c r="E497" s="53">
        <f>'VaR Model'!$G$21</f>
        <v>-1.5036332051297405E-2</v>
      </c>
      <c r="F497">
        <f t="shared" si="15"/>
        <v>0</v>
      </c>
    </row>
    <row r="498" spans="1:6" x14ac:dyDescent="0.35">
      <c r="A498" s="2">
        <f>'VaR Model'!C498</f>
        <v>45295</v>
      </c>
      <c r="B498" s="48">
        <f>'VaR Model'!D498</f>
        <v>2.9721347720249253E-3</v>
      </c>
      <c r="C498" s="47">
        <f>'VaR Model'!$G$16</f>
        <v>-2.1486122599356419E-2</v>
      </c>
      <c r="D498">
        <f t="shared" si="14"/>
        <v>0</v>
      </c>
      <c r="E498" s="53">
        <f>'VaR Model'!$G$21</f>
        <v>-1.5036332051297405E-2</v>
      </c>
      <c r="F498">
        <f t="shared" si="15"/>
        <v>0</v>
      </c>
    </row>
    <row r="499" spans="1:6" x14ac:dyDescent="0.35">
      <c r="A499" s="2">
        <f>'VaR Model'!C499</f>
        <v>45296</v>
      </c>
      <c r="B499" s="48">
        <f>'VaR Model'!D499</f>
        <v>7.5888680470796834E-3</v>
      </c>
      <c r="C499" s="47">
        <f>'VaR Model'!$G$16</f>
        <v>-2.1486122599356419E-2</v>
      </c>
      <c r="D499">
        <f t="shared" si="14"/>
        <v>0</v>
      </c>
      <c r="E499" s="53">
        <f>'VaR Model'!$G$21</f>
        <v>-1.5036332051297405E-2</v>
      </c>
      <c r="F499">
        <f t="shared" si="15"/>
        <v>0</v>
      </c>
    </row>
    <row r="500" spans="1:6" x14ac:dyDescent="0.35">
      <c r="A500" s="2">
        <f>'VaR Model'!C500</f>
        <v>45299</v>
      </c>
      <c r="B500" s="48">
        <f>'VaR Model'!D500</f>
        <v>-1.202128063024673E-2</v>
      </c>
      <c r="C500" s="47">
        <f>'VaR Model'!$G$16</f>
        <v>-2.1486122599356419E-2</v>
      </c>
      <c r="D500">
        <f t="shared" si="14"/>
        <v>0</v>
      </c>
      <c r="E500" s="53">
        <f>'VaR Model'!$G$21</f>
        <v>-1.5036332051297405E-2</v>
      </c>
      <c r="F500">
        <f t="shared" si="15"/>
        <v>0</v>
      </c>
    </row>
    <row r="501" spans="1:6" x14ac:dyDescent="0.35">
      <c r="A501" s="2">
        <f>'VaR Model'!C501</f>
        <v>45300</v>
      </c>
      <c r="B501" s="48">
        <f>'VaR Model'!D501</f>
        <v>8.1866433915925806E-5</v>
      </c>
      <c r="C501" s="47">
        <f>'VaR Model'!$G$16</f>
        <v>-2.1486122599356419E-2</v>
      </c>
      <c r="D501">
        <f t="shared" si="14"/>
        <v>0</v>
      </c>
      <c r="E501" s="53">
        <f>'VaR Model'!$G$21</f>
        <v>-1.5036332051297405E-2</v>
      </c>
      <c r="F501">
        <f t="shared" si="15"/>
        <v>0</v>
      </c>
    </row>
    <row r="502" spans="1:6" x14ac:dyDescent="0.35">
      <c r="A502" s="2">
        <f>'VaR Model'!C502</f>
        <v>45301</v>
      </c>
      <c r="B502" s="48">
        <f>'VaR Model'!D502</f>
        <v>7.4995775589305888E-3</v>
      </c>
      <c r="C502" s="47">
        <f>'VaR Model'!$G$16</f>
        <v>-2.1486122599356419E-2</v>
      </c>
      <c r="D502">
        <f t="shared" si="14"/>
        <v>0</v>
      </c>
      <c r="E502" s="53">
        <f>'VaR Model'!$G$21</f>
        <v>-1.5036332051297405E-2</v>
      </c>
      <c r="F502">
        <f t="shared" si="15"/>
        <v>0</v>
      </c>
    </row>
    <row r="503" spans="1:6" x14ac:dyDescent="0.35">
      <c r="A503" s="2">
        <f>'VaR Model'!C503</f>
        <v>45302</v>
      </c>
      <c r="B503" s="48">
        <f>'VaR Model'!D503</f>
        <v>2.3240780098786372E-3</v>
      </c>
      <c r="C503" s="47">
        <f>'VaR Model'!$G$16</f>
        <v>-2.1486122599356419E-2</v>
      </c>
      <c r="D503">
        <f t="shared" si="14"/>
        <v>0</v>
      </c>
      <c r="E503" s="53">
        <f>'VaR Model'!$G$21</f>
        <v>-1.5036332051297405E-2</v>
      </c>
      <c r="F503">
        <f t="shared" si="15"/>
        <v>0</v>
      </c>
    </row>
    <row r="504" spans="1:6" x14ac:dyDescent="0.35">
      <c r="A504" s="2">
        <f>'VaR Model'!C504</f>
        <v>45303</v>
      </c>
      <c r="B504" s="48">
        <f>'VaR Model'!D504</f>
        <v>2.8805701425796096E-2</v>
      </c>
      <c r="C504" s="47">
        <f>'VaR Model'!$G$16</f>
        <v>-2.1486122599356419E-2</v>
      </c>
      <c r="D504">
        <f t="shared" si="14"/>
        <v>0</v>
      </c>
      <c r="E504" s="53">
        <f>'VaR Model'!$G$21</f>
        <v>-1.5036332051297405E-2</v>
      </c>
      <c r="F504">
        <f t="shared" si="15"/>
        <v>0</v>
      </c>
    </row>
    <row r="505" spans="1:6" x14ac:dyDescent="0.35">
      <c r="A505" s="2">
        <f>'VaR Model'!C505</f>
        <v>45306</v>
      </c>
      <c r="B505" s="48">
        <f>'VaR Model'!D505</f>
        <v>1.0938151914385985E-2</v>
      </c>
      <c r="C505" s="47">
        <f>'VaR Model'!$G$16</f>
        <v>-2.1486122599356419E-2</v>
      </c>
      <c r="D505">
        <f t="shared" si="14"/>
        <v>0</v>
      </c>
      <c r="E505" s="53">
        <f>'VaR Model'!$G$21</f>
        <v>-1.5036332051297405E-2</v>
      </c>
      <c r="F505">
        <f t="shared" si="15"/>
        <v>0</v>
      </c>
    </row>
    <row r="506" spans="1:6" x14ac:dyDescent="0.35">
      <c r="A506" s="2">
        <f>'VaR Model'!C506</f>
        <v>45307</v>
      </c>
      <c r="B506" s="48">
        <f>'VaR Model'!D506</f>
        <v>-5.6706525650750458E-3</v>
      </c>
      <c r="C506" s="47">
        <f>'VaR Model'!$G$16</f>
        <v>-2.1486122599356419E-2</v>
      </c>
      <c r="D506">
        <f t="shared" si="14"/>
        <v>0</v>
      </c>
      <c r="E506" s="53">
        <f>'VaR Model'!$G$21</f>
        <v>-1.5036332051297405E-2</v>
      </c>
      <c r="F506">
        <f t="shared" si="15"/>
        <v>0</v>
      </c>
    </row>
    <row r="507" spans="1:6" x14ac:dyDescent="0.35">
      <c r="A507" s="2">
        <f>'VaR Model'!C507</f>
        <v>45308</v>
      </c>
      <c r="B507" s="48">
        <f>'VaR Model'!D507</f>
        <v>-7.5617499998006689E-3</v>
      </c>
      <c r="C507" s="47">
        <f>'VaR Model'!$G$16</f>
        <v>-2.1486122599356419E-2</v>
      </c>
      <c r="D507">
        <f t="shared" si="14"/>
        <v>0</v>
      </c>
      <c r="E507" s="53">
        <f>'VaR Model'!$G$21</f>
        <v>-1.5036332051297405E-2</v>
      </c>
      <c r="F507">
        <f t="shared" si="15"/>
        <v>0</v>
      </c>
    </row>
    <row r="508" spans="1:6" x14ac:dyDescent="0.35">
      <c r="A508" s="2">
        <f>'VaR Model'!C508</f>
        <v>45309</v>
      </c>
      <c r="B508" s="48">
        <f>'VaR Model'!D508</f>
        <v>2.6157125127725138E-3</v>
      </c>
      <c r="C508" s="47">
        <f>'VaR Model'!$G$16</f>
        <v>-2.1486122599356419E-2</v>
      </c>
      <c r="D508">
        <f t="shared" si="14"/>
        <v>0</v>
      </c>
      <c r="E508" s="53">
        <f>'VaR Model'!$G$21</f>
        <v>-1.5036332051297405E-2</v>
      </c>
      <c r="F508">
        <f t="shared" si="15"/>
        <v>0</v>
      </c>
    </row>
    <row r="509" spans="1:6" x14ac:dyDescent="0.35">
      <c r="A509" s="2">
        <f>'VaR Model'!C509</f>
        <v>45310</v>
      </c>
      <c r="B509" s="48">
        <f>'VaR Model'!D509</f>
        <v>1.0075871253176128E-2</v>
      </c>
      <c r="C509" s="47">
        <f>'VaR Model'!$G$16</f>
        <v>-2.1486122599356419E-2</v>
      </c>
      <c r="D509">
        <f t="shared" si="14"/>
        <v>0</v>
      </c>
      <c r="E509" s="53">
        <f>'VaR Model'!$G$21</f>
        <v>-1.5036332051297405E-2</v>
      </c>
      <c r="F509">
        <f t="shared" si="15"/>
        <v>0</v>
      </c>
    </row>
    <row r="510" spans="1:6" x14ac:dyDescent="0.35">
      <c r="A510" s="2">
        <f>'VaR Model'!C510</f>
        <v>45311</v>
      </c>
      <c r="B510" s="48">
        <f>'VaR Model'!D510</f>
        <v>5.7338857017928124E-3</v>
      </c>
      <c r="C510" s="47">
        <f>'VaR Model'!$G$16</f>
        <v>-2.1486122599356419E-2</v>
      </c>
      <c r="D510">
        <f t="shared" si="14"/>
        <v>0</v>
      </c>
      <c r="E510" s="53">
        <f>'VaR Model'!$G$21</f>
        <v>-1.5036332051297405E-2</v>
      </c>
      <c r="F510">
        <f t="shared" si="15"/>
        <v>0</v>
      </c>
    </row>
    <row r="511" spans="1:6" x14ac:dyDescent="0.35">
      <c r="A511" s="2">
        <f>'VaR Model'!C511</f>
        <v>45314</v>
      </c>
      <c r="B511" s="48">
        <f>'VaR Model'!D511</f>
        <v>-1.7275998780296734E-2</v>
      </c>
      <c r="C511" s="47">
        <f>'VaR Model'!$G$16</f>
        <v>-2.1486122599356419E-2</v>
      </c>
      <c r="D511">
        <f t="shared" si="14"/>
        <v>0</v>
      </c>
      <c r="E511" s="53">
        <f>'VaR Model'!$G$21</f>
        <v>-1.5036332051297405E-2</v>
      </c>
      <c r="F511">
        <f t="shared" si="15"/>
        <v>1</v>
      </c>
    </row>
    <row r="512" spans="1:6" x14ac:dyDescent="0.35">
      <c r="A512" s="2">
        <f>'VaR Model'!C512</f>
        <v>45315</v>
      </c>
      <c r="B512" s="48">
        <f>'VaR Model'!D512</f>
        <v>1.4231088837031274E-3</v>
      </c>
      <c r="C512" s="47">
        <f>'VaR Model'!$G$16</f>
        <v>-2.1486122599356419E-2</v>
      </c>
      <c r="D512">
        <f t="shared" si="14"/>
        <v>0</v>
      </c>
      <c r="E512" s="53">
        <f>'VaR Model'!$G$21</f>
        <v>-1.5036332051297405E-2</v>
      </c>
      <c r="F512">
        <f t="shared" si="15"/>
        <v>0</v>
      </c>
    </row>
    <row r="513" spans="1:6" x14ac:dyDescent="0.35">
      <c r="A513" s="2">
        <f>'VaR Model'!C513</f>
        <v>45316</v>
      </c>
      <c r="B513" s="48">
        <f>'VaR Model'!D513</f>
        <v>-2.3553404883355014E-3</v>
      </c>
      <c r="C513" s="47">
        <f>'VaR Model'!$G$16</f>
        <v>-2.1486122599356419E-2</v>
      </c>
      <c r="D513">
        <f t="shared" si="14"/>
        <v>0</v>
      </c>
      <c r="E513" s="53">
        <f>'VaR Model'!$G$21</f>
        <v>-1.5036332051297405E-2</v>
      </c>
      <c r="F513">
        <f t="shared" si="15"/>
        <v>0</v>
      </c>
    </row>
    <row r="514" spans="1:6" x14ac:dyDescent="0.35">
      <c r="A514" s="2">
        <f>'VaR Model'!C514</f>
        <v>45320</v>
      </c>
      <c r="B514" s="48">
        <f>'VaR Model'!D514</f>
        <v>1.0266948951533033E-2</v>
      </c>
      <c r="C514" s="47">
        <f>'VaR Model'!$G$16</f>
        <v>-2.1486122599356419E-2</v>
      </c>
      <c r="D514">
        <f t="shared" si="14"/>
        <v>0</v>
      </c>
      <c r="E514" s="53">
        <f>'VaR Model'!$G$21</f>
        <v>-1.5036332051297405E-2</v>
      </c>
      <c r="F514">
        <f t="shared" si="15"/>
        <v>0</v>
      </c>
    </row>
    <row r="515" spans="1:6" x14ac:dyDescent="0.35">
      <c r="A515" s="2">
        <f>'VaR Model'!C515</f>
        <v>45321</v>
      </c>
      <c r="B515" s="48">
        <f>'VaR Model'!D515</f>
        <v>-1.15072475562796E-2</v>
      </c>
      <c r="C515" s="47">
        <f>'VaR Model'!$G$16</f>
        <v>-2.1486122599356419E-2</v>
      </c>
      <c r="D515">
        <f t="shared" ref="D515:D578" si="16">IF(B515&lt;C515,1,0)</f>
        <v>0</v>
      </c>
      <c r="E515" s="53">
        <f>'VaR Model'!$G$21</f>
        <v>-1.5036332051297405E-2</v>
      </c>
      <c r="F515">
        <f t="shared" ref="F515:F578" si="17">IF(B515&lt;E515,1,0)</f>
        <v>0</v>
      </c>
    </row>
    <row r="516" spans="1:6" x14ac:dyDescent="0.35">
      <c r="A516" s="2">
        <f>'VaR Model'!C516</f>
        <v>45322</v>
      </c>
      <c r="B516" s="48">
        <f>'VaR Model'!D516</f>
        <v>8.4234378974478285E-3</v>
      </c>
      <c r="C516" s="47">
        <f>'VaR Model'!$G$16</f>
        <v>-2.1486122599356419E-2</v>
      </c>
      <c r="D516">
        <f t="shared" si="16"/>
        <v>0</v>
      </c>
      <c r="E516" s="53">
        <f>'VaR Model'!$G$21</f>
        <v>-1.5036332051297405E-2</v>
      </c>
      <c r="F516">
        <f t="shared" si="17"/>
        <v>0</v>
      </c>
    </row>
    <row r="517" spans="1:6" x14ac:dyDescent="0.35">
      <c r="A517" s="2">
        <f>'VaR Model'!C517</f>
        <v>45323</v>
      </c>
      <c r="B517" s="48">
        <f>'VaR Model'!D517</f>
        <v>1.5581403119165854E-3</v>
      </c>
      <c r="C517" s="47">
        <f>'VaR Model'!$G$16</f>
        <v>-2.1486122599356419E-2</v>
      </c>
      <c r="D517">
        <f t="shared" si="16"/>
        <v>0</v>
      </c>
      <c r="E517" s="53">
        <f>'VaR Model'!$G$21</f>
        <v>-1.5036332051297405E-2</v>
      </c>
      <c r="F517">
        <f t="shared" si="17"/>
        <v>0</v>
      </c>
    </row>
    <row r="518" spans="1:6" x14ac:dyDescent="0.35">
      <c r="A518" s="2">
        <f>'VaR Model'!C518</f>
        <v>45324</v>
      </c>
      <c r="B518" s="48">
        <f>'VaR Model'!D518</f>
        <v>1.2883748825588194E-2</v>
      </c>
      <c r="C518" s="47">
        <f>'VaR Model'!$G$16</f>
        <v>-2.1486122599356419E-2</v>
      </c>
      <c r="D518">
        <f t="shared" si="16"/>
        <v>0</v>
      </c>
      <c r="E518" s="53">
        <f>'VaR Model'!$G$21</f>
        <v>-1.5036332051297405E-2</v>
      </c>
      <c r="F518">
        <f t="shared" si="17"/>
        <v>0</v>
      </c>
    </row>
    <row r="519" spans="1:6" x14ac:dyDescent="0.35">
      <c r="A519" s="2">
        <f>'VaR Model'!C519</f>
        <v>45327</v>
      </c>
      <c r="B519" s="48">
        <f>'VaR Model'!D519</f>
        <v>-3.9854666237102059E-3</v>
      </c>
      <c r="C519" s="47">
        <f>'VaR Model'!$G$16</f>
        <v>-2.1486122599356419E-2</v>
      </c>
      <c r="D519">
        <f t="shared" si="16"/>
        <v>0</v>
      </c>
      <c r="E519" s="53">
        <f>'VaR Model'!$G$21</f>
        <v>-1.5036332051297405E-2</v>
      </c>
      <c r="F519">
        <f t="shared" si="17"/>
        <v>0</v>
      </c>
    </row>
    <row r="520" spans="1:6" x14ac:dyDescent="0.35">
      <c r="A520" s="2">
        <f>'VaR Model'!C520</f>
        <v>45328</v>
      </c>
      <c r="B520" s="48">
        <f>'VaR Model'!D520</f>
        <v>8.9138471633231006E-3</v>
      </c>
      <c r="C520" s="47">
        <f>'VaR Model'!$G$16</f>
        <v>-2.1486122599356419E-2</v>
      </c>
      <c r="D520">
        <f t="shared" si="16"/>
        <v>0</v>
      </c>
      <c r="E520" s="53">
        <f>'VaR Model'!$G$21</f>
        <v>-1.5036332051297405E-2</v>
      </c>
      <c r="F520">
        <f t="shared" si="17"/>
        <v>0</v>
      </c>
    </row>
    <row r="521" spans="1:6" x14ac:dyDescent="0.35">
      <c r="A521" s="2">
        <f>'VaR Model'!C521</f>
        <v>45329</v>
      </c>
      <c r="B521" s="48">
        <f>'VaR Model'!D521</f>
        <v>-5.3751893831684699E-3</v>
      </c>
      <c r="C521" s="47">
        <f>'VaR Model'!$G$16</f>
        <v>-2.1486122599356419E-2</v>
      </c>
      <c r="D521">
        <f t="shared" si="16"/>
        <v>0</v>
      </c>
      <c r="E521" s="53">
        <f>'VaR Model'!$G$21</f>
        <v>-1.5036332051297405E-2</v>
      </c>
      <c r="F521">
        <f t="shared" si="17"/>
        <v>0</v>
      </c>
    </row>
    <row r="522" spans="1:6" x14ac:dyDescent="0.35">
      <c r="A522" s="2">
        <f>'VaR Model'!C522</f>
        <v>45330</v>
      </c>
      <c r="B522" s="48">
        <f>'VaR Model'!D522</f>
        <v>-1.131085831664418E-2</v>
      </c>
      <c r="C522" s="47">
        <f>'VaR Model'!$G$16</f>
        <v>-2.1486122599356419E-2</v>
      </c>
      <c r="D522">
        <f t="shared" si="16"/>
        <v>0</v>
      </c>
      <c r="E522" s="53">
        <f>'VaR Model'!$G$21</f>
        <v>-1.5036332051297405E-2</v>
      </c>
      <c r="F522">
        <f t="shared" si="17"/>
        <v>0</v>
      </c>
    </row>
    <row r="523" spans="1:6" x14ac:dyDescent="0.35">
      <c r="A523" s="2">
        <f>'VaR Model'!C523</f>
        <v>45331</v>
      </c>
      <c r="B523" s="48">
        <f>'VaR Model'!D523</f>
        <v>3.4705240638666776E-3</v>
      </c>
      <c r="C523" s="47">
        <f>'VaR Model'!$G$16</f>
        <v>-2.1486122599356419E-2</v>
      </c>
      <c r="D523">
        <f t="shared" si="16"/>
        <v>0</v>
      </c>
      <c r="E523" s="53">
        <f>'VaR Model'!$G$21</f>
        <v>-1.5036332051297405E-2</v>
      </c>
      <c r="F523">
        <f t="shared" si="17"/>
        <v>0</v>
      </c>
    </row>
    <row r="524" spans="1:6" x14ac:dyDescent="0.35">
      <c r="A524" s="2">
        <f>'VaR Model'!C524</f>
        <v>45334</v>
      </c>
      <c r="B524" s="48">
        <f>'VaR Model'!D524</f>
        <v>-7.6145376844158801E-3</v>
      </c>
      <c r="C524" s="47">
        <f>'VaR Model'!$G$16</f>
        <v>-2.1486122599356419E-2</v>
      </c>
      <c r="D524">
        <f t="shared" si="16"/>
        <v>0</v>
      </c>
      <c r="E524" s="53">
        <f>'VaR Model'!$G$21</f>
        <v>-1.5036332051297405E-2</v>
      </c>
      <c r="F524">
        <f t="shared" si="17"/>
        <v>0</v>
      </c>
    </row>
    <row r="525" spans="1:6" x14ac:dyDescent="0.35">
      <c r="A525" s="2">
        <f>'VaR Model'!C525</f>
        <v>45335</v>
      </c>
      <c r="B525" s="48">
        <f>'VaR Model'!D525</f>
        <v>8.3203569571237909E-3</v>
      </c>
      <c r="C525" s="47">
        <f>'VaR Model'!$G$16</f>
        <v>-2.1486122599356419E-2</v>
      </c>
      <c r="D525">
        <f t="shared" si="16"/>
        <v>0</v>
      </c>
      <c r="E525" s="53">
        <f>'VaR Model'!$G$21</f>
        <v>-1.5036332051297405E-2</v>
      </c>
      <c r="F525">
        <f t="shared" si="17"/>
        <v>0</v>
      </c>
    </row>
    <row r="526" spans="1:6" x14ac:dyDescent="0.35">
      <c r="A526" s="2">
        <f>'VaR Model'!C526</f>
        <v>45336</v>
      </c>
      <c r="B526" s="48">
        <f>'VaR Model'!D526</f>
        <v>5.3775124227507017E-4</v>
      </c>
      <c r="C526" s="47">
        <f>'VaR Model'!$G$16</f>
        <v>-2.1486122599356419E-2</v>
      </c>
      <c r="D526">
        <f t="shared" si="16"/>
        <v>0</v>
      </c>
      <c r="E526" s="53">
        <f>'VaR Model'!$G$21</f>
        <v>-1.5036332051297405E-2</v>
      </c>
      <c r="F526">
        <f t="shared" si="17"/>
        <v>0</v>
      </c>
    </row>
    <row r="527" spans="1:6" x14ac:dyDescent="0.35">
      <c r="A527" s="2">
        <f>'VaR Model'!C527</f>
        <v>45337</v>
      </c>
      <c r="B527" s="48">
        <f>'VaR Model'!D527</f>
        <v>-5.0297374284845216E-3</v>
      </c>
      <c r="C527" s="47">
        <f>'VaR Model'!$G$16</f>
        <v>-2.1486122599356419E-2</v>
      </c>
      <c r="D527">
        <f t="shared" si="16"/>
        <v>0</v>
      </c>
      <c r="E527" s="53">
        <f>'VaR Model'!$G$21</f>
        <v>-1.5036332051297405E-2</v>
      </c>
      <c r="F527">
        <f t="shared" si="17"/>
        <v>0</v>
      </c>
    </row>
    <row r="528" spans="1:6" x14ac:dyDescent="0.35">
      <c r="A528" s="2">
        <f>'VaR Model'!C528</f>
        <v>45338</v>
      </c>
      <c r="B528" s="48">
        <f>'VaR Model'!D528</f>
        <v>4.4852459317339787E-3</v>
      </c>
      <c r="C528" s="47">
        <f>'VaR Model'!$G$16</f>
        <v>-2.1486122599356419E-2</v>
      </c>
      <c r="D528">
        <f t="shared" si="16"/>
        <v>0</v>
      </c>
      <c r="E528" s="53">
        <f>'VaR Model'!$G$21</f>
        <v>-1.5036332051297405E-2</v>
      </c>
      <c r="F528">
        <f t="shared" si="17"/>
        <v>0</v>
      </c>
    </row>
    <row r="529" spans="1:6" x14ac:dyDescent="0.35">
      <c r="A529" s="2">
        <f>'VaR Model'!C529</f>
        <v>45341</v>
      </c>
      <c r="B529" s="48">
        <f>'VaR Model'!D529</f>
        <v>6.669833661487305E-3</v>
      </c>
      <c r="C529" s="47">
        <f>'VaR Model'!$G$16</f>
        <v>-2.1486122599356419E-2</v>
      </c>
      <c r="D529">
        <f t="shared" si="16"/>
        <v>0</v>
      </c>
      <c r="E529" s="53">
        <f>'VaR Model'!$G$21</f>
        <v>-1.5036332051297405E-2</v>
      </c>
      <c r="F529">
        <f t="shared" si="17"/>
        <v>0</v>
      </c>
    </row>
    <row r="530" spans="1:6" x14ac:dyDescent="0.35">
      <c r="A530" s="2">
        <f>'VaR Model'!C530</f>
        <v>45342</v>
      </c>
      <c r="B530" s="48">
        <f>'VaR Model'!D530</f>
        <v>-6.3025231866347302E-3</v>
      </c>
      <c r="C530" s="47">
        <f>'VaR Model'!$G$16</f>
        <v>-2.1486122599356419E-2</v>
      </c>
      <c r="D530">
        <f t="shared" si="16"/>
        <v>0</v>
      </c>
      <c r="E530" s="53">
        <f>'VaR Model'!$G$21</f>
        <v>-1.5036332051297405E-2</v>
      </c>
      <c r="F530">
        <f t="shared" si="17"/>
        <v>0</v>
      </c>
    </row>
    <row r="531" spans="1:6" x14ac:dyDescent="0.35">
      <c r="A531" s="2">
        <f>'VaR Model'!C531</f>
        <v>45343</v>
      </c>
      <c r="B531" s="48">
        <f>'VaR Model'!D531</f>
        <v>-6.7163227297895112E-3</v>
      </c>
      <c r="C531" s="47">
        <f>'VaR Model'!$G$16</f>
        <v>-2.1486122599356419E-2</v>
      </c>
      <c r="D531">
        <f t="shared" si="16"/>
        <v>0</v>
      </c>
      <c r="E531" s="53">
        <f>'VaR Model'!$G$21</f>
        <v>-1.5036332051297405E-2</v>
      </c>
      <c r="F531">
        <f t="shared" si="17"/>
        <v>0</v>
      </c>
    </row>
    <row r="532" spans="1:6" x14ac:dyDescent="0.35">
      <c r="A532" s="2">
        <f>'VaR Model'!C532</f>
        <v>45344</v>
      </c>
      <c r="B532" s="48">
        <f>'VaR Model'!D532</f>
        <v>1.7200240836972171E-2</v>
      </c>
      <c r="C532" s="47">
        <f>'VaR Model'!$G$16</f>
        <v>-2.1486122599356419E-2</v>
      </c>
      <c r="D532">
        <f t="shared" si="16"/>
        <v>0</v>
      </c>
      <c r="E532" s="53">
        <f>'VaR Model'!$G$21</f>
        <v>-1.5036332051297405E-2</v>
      </c>
      <c r="F532">
        <f t="shared" si="17"/>
        <v>0</v>
      </c>
    </row>
    <row r="533" spans="1:6" x14ac:dyDescent="0.35">
      <c r="A533" s="2">
        <f>'VaR Model'!C533</f>
        <v>45345</v>
      </c>
      <c r="B533" s="48">
        <f>'VaR Model'!D533</f>
        <v>-2.4028952332074676E-3</v>
      </c>
      <c r="C533" s="47">
        <f>'VaR Model'!$G$16</f>
        <v>-2.1486122599356419E-2</v>
      </c>
      <c r="D533">
        <f t="shared" si="16"/>
        <v>0</v>
      </c>
      <c r="E533" s="53">
        <f>'VaR Model'!$G$21</f>
        <v>-1.5036332051297405E-2</v>
      </c>
      <c r="F533">
        <f t="shared" si="17"/>
        <v>0</v>
      </c>
    </row>
    <row r="534" spans="1:6" x14ac:dyDescent="0.35">
      <c r="A534" s="2">
        <f>'VaR Model'!C534</f>
        <v>45348</v>
      </c>
      <c r="B534" s="48">
        <f>'VaR Model'!D534</f>
        <v>-7.797670681601282E-3</v>
      </c>
      <c r="C534" s="47">
        <f>'VaR Model'!$G$16</f>
        <v>-2.1486122599356419E-2</v>
      </c>
      <c r="D534">
        <f t="shared" si="16"/>
        <v>0</v>
      </c>
      <c r="E534" s="53">
        <f>'VaR Model'!$G$21</f>
        <v>-1.5036332051297405E-2</v>
      </c>
      <c r="F534">
        <f t="shared" si="17"/>
        <v>0</v>
      </c>
    </row>
    <row r="535" spans="1:6" x14ac:dyDescent="0.35">
      <c r="A535" s="2">
        <f>'VaR Model'!C535</f>
        <v>45349</v>
      </c>
      <c r="B535" s="48">
        <f>'VaR Model'!D535</f>
        <v>7.3744286065850232E-3</v>
      </c>
      <c r="C535" s="47">
        <f>'VaR Model'!$G$16</f>
        <v>-2.1486122599356419E-2</v>
      </c>
      <c r="D535">
        <f t="shared" si="16"/>
        <v>0</v>
      </c>
      <c r="E535" s="53">
        <f>'VaR Model'!$G$21</f>
        <v>-1.5036332051297405E-2</v>
      </c>
      <c r="F535">
        <f t="shared" si="17"/>
        <v>0</v>
      </c>
    </row>
    <row r="536" spans="1:6" x14ac:dyDescent="0.35">
      <c r="A536" s="2">
        <f>'VaR Model'!C536</f>
        <v>45350</v>
      </c>
      <c r="B536" s="48">
        <f>'VaR Model'!D536</f>
        <v>-6.5048720870783385E-3</v>
      </c>
      <c r="C536" s="47">
        <f>'VaR Model'!$G$16</f>
        <v>-2.1486122599356419E-2</v>
      </c>
      <c r="D536">
        <f t="shared" si="16"/>
        <v>0</v>
      </c>
      <c r="E536" s="53">
        <f>'VaR Model'!$G$21</f>
        <v>-1.5036332051297405E-2</v>
      </c>
      <c r="F536">
        <f t="shared" si="17"/>
        <v>0</v>
      </c>
    </row>
    <row r="537" spans="1:6" x14ac:dyDescent="0.35">
      <c r="A537" s="2">
        <f>'VaR Model'!C537</f>
        <v>45351</v>
      </c>
      <c r="B537" s="48">
        <f>'VaR Model'!D537</f>
        <v>2.2630124487381604E-5</v>
      </c>
      <c r="C537" s="47">
        <f>'VaR Model'!$G$16</f>
        <v>-2.1486122599356419E-2</v>
      </c>
      <c r="D537">
        <f t="shared" si="16"/>
        <v>0</v>
      </c>
      <c r="E537" s="53">
        <f>'VaR Model'!$G$21</f>
        <v>-1.5036332051297405E-2</v>
      </c>
      <c r="F537">
        <f t="shared" si="17"/>
        <v>0</v>
      </c>
    </row>
    <row r="538" spans="1:6" x14ac:dyDescent="0.35">
      <c r="A538" s="2">
        <f>'VaR Model'!C538</f>
        <v>45352</v>
      </c>
      <c r="B538" s="48">
        <f>'VaR Model'!D538</f>
        <v>9.9601824109355856E-3</v>
      </c>
      <c r="C538" s="47">
        <f>'VaR Model'!$G$16</f>
        <v>-2.1486122599356419E-2</v>
      </c>
      <c r="D538">
        <f t="shared" si="16"/>
        <v>0</v>
      </c>
      <c r="E538" s="53">
        <f>'VaR Model'!$G$21</f>
        <v>-1.5036332051297405E-2</v>
      </c>
      <c r="F538">
        <f t="shared" si="17"/>
        <v>0</v>
      </c>
    </row>
    <row r="539" spans="1:6" x14ac:dyDescent="0.35">
      <c r="A539" s="2">
        <f>'VaR Model'!C539</f>
        <v>45353</v>
      </c>
      <c r="B539" s="48">
        <f>'VaR Model'!D539</f>
        <v>1.3726046040438391E-2</v>
      </c>
      <c r="C539" s="47">
        <f>'VaR Model'!$G$16</f>
        <v>-2.1486122599356419E-2</v>
      </c>
      <c r="D539">
        <f t="shared" si="16"/>
        <v>0</v>
      </c>
      <c r="E539" s="53">
        <f>'VaR Model'!$G$21</f>
        <v>-1.5036332051297405E-2</v>
      </c>
      <c r="F539">
        <f t="shared" si="17"/>
        <v>0</v>
      </c>
    </row>
    <row r="540" spans="1:6" x14ac:dyDescent="0.35">
      <c r="A540" s="2">
        <f>'VaR Model'!C540</f>
        <v>45355</v>
      </c>
      <c r="B540" s="48">
        <f>'VaR Model'!D540</f>
        <v>-1.3679741297741353E-2</v>
      </c>
      <c r="C540" s="47">
        <f>'VaR Model'!$G$16</f>
        <v>-2.1486122599356419E-2</v>
      </c>
      <c r="D540">
        <f t="shared" si="16"/>
        <v>0</v>
      </c>
      <c r="E540" s="53">
        <f>'VaR Model'!$G$21</f>
        <v>-1.5036332051297405E-2</v>
      </c>
      <c r="F540">
        <f t="shared" si="17"/>
        <v>0</v>
      </c>
    </row>
    <row r="541" spans="1:6" x14ac:dyDescent="0.35">
      <c r="A541" s="2">
        <f>'VaR Model'!C541</f>
        <v>45356</v>
      </c>
      <c r="B541" s="48">
        <f>'VaR Model'!D541</f>
        <v>-1.0370375533183398E-2</v>
      </c>
      <c r="C541" s="47">
        <f>'VaR Model'!$G$16</f>
        <v>-2.1486122599356419E-2</v>
      </c>
      <c r="D541">
        <f t="shared" si="16"/>
        <v>0</v>
      </c>
      <c r="E541" s="53">
        <f>'VaR Model'!$G$21</f>
        <v>-1.5036332051297405E-2</v>
      </c>
      <c r="F541">
        <f t="shared" si="17"/>
        <v>0</v>
      </c>
    </row>
    <row r="542" spans="1:6" x14ac:dyDescent="0.35">
      <c r="A542" s="2">
        <f>'VaR Model'!C542</f>
        <v>45357</v>
      </c>
      <c r="B542" s="48">
        <f>'VaR Model'!D542</f>
        <v>6.8211840771521329E-3</v>
      </c>
      <c r="C542" s="47">
        <f>'VaR Model'!$G$16</f>
        <v>-2.1486122599356419E-2</v>
      </c>
      <c r="D542">
        <f t="shared" si="16"/>
        <v>0</v>
      </c>
      <c r="E542" s="53">
        <f>'VaR Model'!$G$21</f>
        <v>-1.5036332051297405E-2</v>
      </c>
      <c r="F542">
        <f t="shared" si="17"/>
        <v>0</v>
      </c>
    </row>
    <row r="543" spans="1:6" x14ac:dyDescent="0.35">
      <c r="A543" s="2">
        <f>'VaR Model'!C543</f>
        <v>45358</v>
      </c>
      <c r="B543" s="48">
        <f>'VaR Model'!D543</f>
        <v>-9.6654766063558779E-5</v>
      </c>
      <c r="C543" s="47">
        <f>'VaR Model'!$G$16</f>
        <v>-2.1486122599356419E-2</v>
      </c>
      <c r="D543">
        <f t="shared" si="16"/>
        <v>0</v>
      </c>
      <c r="E543" s="53">
        <f>'VaR Model'!$G$21</f>
        <v>-1.5036332051297405E-2</v>
      </c>
      <c r="F543">
        <f t="shared" si="17"/>
        <v>0</v>
      </c>
    </row>
    <row r="544" spans="1:6" x14ac:dyDescent="0.35">
      <c r="A544" s="2">
        <f>'VaR Model'!C544</f>
        <v>45362</v>
      </c>
      <c r="B544" s="48">
        <f>'VaR Model'!D544</f>
        <v>-6.6986313606722447E-3</v>
      </c>
      <c r="C544" s="47">
        <f>'VaR Model'!$G$16</f>
        <v>-2.1486122599356419E-2</v>
      </c>
      <c r="D544">
        <f t="shared" si="16"/>
        <v>0</v>
      </c>
      <c r="E544" s="53">
        <f>'VaR Model'!$G$21</f>
        <v>-1.5036332051297405E-2</v>
      </c>
      <c r="F544">
        <f t="shared" si="17"/>
        <v>0</v>
      </c>
    </row>
    <row r="545" spans="1:6" x14ac:dyDescent="0.35">
      <c r="A545" s="2">
        <f>'VaR Model'!C545</f>
        <v>45363</v>
      </c>
      <c r="B545" s="48">
        <f>'VaR Model'!D545</f>
        <v>3.3205453603140809E-3</v>
      </c>
      <c r="C545" s="47">
        <f>'VaR Model'!$G$16</f>
        <v>-2.1486122599356419E-2</v>
      </c>
      <c r="D545">
        <f t="shared" si="16"/>
        <v>0</v>
      </c>
      <c r="E545" s="53">
        <f>'VaR Model'!$G$21</f>
        <v>-1.5036332051297405E-2</v>
      </c>
      <c r="F545">
        <f t="shared" si="17"/>
        <v>0</v>
      </c>
    </row>
    <row r="546" spans="1:6" x14ac:dyDescent="0.35">
      <c r="A546" s="2">
        <f>'VaR Model'!C546</f>
        <v>45364</v>
      </c>
      <c r="B546" s="48">
        <f>'VaR Model'!D546</f>
        <v>1.8074084195355148E-3</v>
      </c>
      <c r="C546" s="47">
        <f>'VaR Model'!$G$16</f>
        <v>-2.1486122599356419E-2</v>
      </c>
      <c r="D546">
        <f t="shared" si="16"/>
        <v>0</v>
      </c>
      <c r="E546" s="53">
        <f>'VaR Model'!$G$21</f>
        <v>-1.5036332051297405E-2</v>
      </c>
      <c r="F546">
        <f t="shared" si="17"/>
        <v>0</v>
      </c>
    </row>
    <row r="547" spans="1:6" x14ac:dyDescent="0.35">
      <c r="A547" s="2">
        <f>'VaR Model'!C547</f>
        <v>45365</v>
      </c>
      <c r="B547" s="48">
        <f>'VaR Model'!D547</f>
        <v>6.4452100306641846E-3</v>
      </c>
      <c r="C547" s="47">
        <f>'VaR Model'!$G$16</f>
        <v>-2.1486122599356419E-2</v>
      </c>
      <c r="D547">
        <f t="shared" si="16"/>
        <v>0</v>
      </c>
      <c r="E547" s="53">
        <f>'VaR Model'!$G$21</f>
        <v>-1.5036332051297405E-2</v>
      </c>
      <c r="F547">
        <f t="shared" si="17"/>
        <v>0</v>
      </c>
    </row>
    <row r="548" spans="1:6" x14ac:dyDescent="0.35">
      <c r="A548" s="2">
        <f>'VaR Model'!C548</f>
        <v>45366</v>
      </c>
      <c r="B548" s="48">
        <f>'VaR Model'!D548</f>
        <v>-4.5192225041468309E-3</v>
      </c>
      <c r="C548" s="47">
        <f>'VaR Model'!$G$16</f>
        <v>-2.1486122599356419E-2</v>
      </c>
      <c r="D548">
        <f t="shared" si="16"/>
        <v>0</v>
      </c>
      <c r="E548" s="53">
        <f>'VaR Model'!$G$21</f>
        <v>-1.5036332051297405E-2</v>
      </c>
      <c r="F548">
        <f t="shared" si="17"/>
        <v>0</v>
      </c>
    </row>
    <row r="549" spans="1:6" x14ac:dyDescent="0.35">
      <c r="A549" s="2">
        <f>'VaR Model'!C549</f>
        <v>45369</v>
      </c>
      <c r="B549" s="48">
        <f>'VaR Model'!D549</f>
        <v>-4.7200455894258102E-3</v>
      </c>
      <c r="C549" s="47">
        <f>'VaR Model'!$G$16</f>
        <v>-2.1486122599356419E-2</v>
      </c>
      <c r="D549">
        <f t="shared" si="16"/>
        <v>0</v>
      </c>
      <c r="E549" s="53">
        <f>'VaR Model'!$G$21</f>
        <v>-1.5036332051297405E-2</v>
      </c>
      <c r="F549">
        <f t="shared" si="17"/>
        <v>0</v>
      </c>
    </row>
    <row r="550" spans="1:6" x14ac:dyDescent="0.35">
      <c r="A550" s="2">
        <f>'VaR Model'!C550</f>
        <v>45370</v>
      </c>
      <c r="B550" s="48">
        <f>'VaR Model'!D550</f>
        <v>-1.9127190397417084E-2</v>
      </c>
      <c r="C550" s="47">
        <f>'VaR Model'!$G$16</f>
        <v>-2.1486122599356419E-2</v>
      </c>
      <c r="D550">
        <f t="shared" si="16"/>
        <v>0</v>
      </c>
      <c r="E550" s="53">
        <f>'VaR Model'!$G$21</f>
        <v>-1.5036332051297405E-2</v>
      </c>
      <c r="F550">
        <f t="shared" si="17"/>
        <v>1</v>
      </c>
    </row>
    <row r="551" spans="1:6" x14ac:dyDescent="0.35">
      <c r="A551" s="2">
        <f>'VaR Model'!C551</f>
        <v>45371</v>
      </c>
      <c r="B551" s="48">
        <f>'VaR Model'!D551</f>
        <v>4.5068608720369267E-3</v>
      </c>
      <c r="C551" s="47">
        <f>'VaR Model'!$G$16</f>
        <v>-2.1486122599356419E-2</v>
      </c>
      <c r="D551">
        <f t="shared" si="16"/>
        <v>0</v>
      </c>
      <c r="E551" s="53">
        <f>'VaR Model'!$G$21</f>
        <v>-1.5036332051297405E-2</v>
      </c>
      <c r="F551">
        <f t="shared" si="17"/>
        <v>0</v>
      </c>
    </row>
    <row r="552" spans="1:6" x14ac:dyDescent="0.35">
      <c r="A552" s="2">
        <f>'VaR Model'!C552</f>
        <v>45372</v>
      </c>
      <c r="B552" s="48">
        <f>'VaR Model'!D552</f>
        <v>3.2223440805429831E-3</v>
      </c>
      <c r="C552" s="47">
        <f>'VaR Model'!$G$16</f>
        <v>-2.1486122599356419E-2</v>
      </c>
      <c r="D552">
        <f t="shared" si="16"/>
        <v>0</v>
      </c>
      <c r="E552" s="53">
        <f>'VaR Model'!$G$21</f>
        <v>-1.5036332051297405E-2</v>
      </c>
      <c r="F552">
        <f t="shared" si="17"/>
        <v>0</v>
      </c>
    </row>
    <row r="553" spans="1:6" x14ac:dyDescent="0.35">
      <c r="A553" s="2">
        <f>'VaR Model'!C553</f>
        <v>45373</v>
      </c>
      <c r="B553" s="48">
        <f>'VaR Model'!D553</f>
        <v>-3.5540703638513665E-3</v>
      </c>
      <c r="C553" s="47">
        <f>'VaR Model'!$G$16</f>
        <v>-2.1486122599356419E-2</v>
      </c>
      <c r="D553">
        <f t="shared" si="16"/>
        <v>0</v>
      </c>
      <c r="E553" s="53">
        <f>'VaR Model'!$G$21</f>
        <v>-1.5036332051297405E-2</v>
      </c>
      <c r="F553">
        <f t="shared" si="17"/>
        <v>0</v>
      </c>
    </row>
    <row r="554" spans="1:6" x14ac:dyDescent="0.35">
      <c r="A554" s="2">
        <f>'VaR Model'!C554</f>
        <v>45377</v>
      </c>
      <c r="B554" s="48">
        <f>'VaR Model'!D554</f>
        <v>-7.3906213830294528E-3</v>
      </c>
      <c r="C554" s="47">
        <f>'VaR Model'!$G$16</f>
        <v>-2.1486122599356419E-2</v>
      </c>
      <c r="D554">
        <f t="shared" si="16"/>
        <v>0</v>
      </c>
      <c r="E554" s="53">
        <f>'VaR Model'!$G$21</f>
        <v>-1.5036332051297405E-2</v>
      </c>
      <c r="F554">
        <f t="shared" si="17"/>
        <v>0</v>
      </c>
    </row>
    <row r="555" spans="1:6" x14ac:dyDescent="0.35">
      <c r="A555" s="2">
        <f>'VaR Model'!C555</f>
        <v>45378</v>
      </c>
      <c r="B555" s="48">
        <f>'VaR Model'!D555</f>
        <v>4.083866399115654E-3</v>
      </c>
      <c r="C555" s="47">
        <f>'VaR Model'!$G$16</f>
        <v>-2.1486122599356419E-2</v>
      </c>
      <c r="D555">
        <f t="shared" si="16"/>
        <v>0</v>
      </c>
      <c r="E555" s="53">
        <f>'VaR Model'!$G$21</f>
        <v>-1.5036332051297405E-2</v>
      </c>
      <c r="F555">
        <f t="shared" si="17"/>
        <v>0</v>
      </c>
    </row>
    <row r="556" spans="1:6" x14ac:dyDescent="0.35">
      <c r="A556" s="2">
        <f>'VaR Model'!C556</f>
        <v>45379</v>
      </c>
      <c r="B556" s="48">
        <f>'VaR Model'!D556</f>
        <v>4.7221980842467697E-3</v>
      </c>
      <c r="C556" s="47">
        <f>'VaR Model'!$G$16</f>
        <v>-2.1486122599356419E-2</v>
      </c>
      <c r="D556">
        <f t="shared" si="16"/>
        <v>0</v>
      </c>
      <c r="E556" s="53">
        <f>'VaR Model'!$G$21</f>
        <v>-1.5036332051297405E-2</v>
      </c>
      <c r="F556">
        <f t="shared" si="17"/>
        <v>0</v>
      </c>
    </row>
    <row r="557" spans="1:6" x14ac:dyDescent="0.35">
      <c r="A557" s="2">
        <f>'VaR Model'!C557</f>
        <v>45383</v>
      </c>
      <c r="B557" s="48">
        <f>'VaR Model'!D557</f>
        <v>1.9660042351332665E-3</v>
      </c>
      <c r="C557" s="47">
        <f>'VaR Model'!$G$16</f>
        <v>-2.1486122599356419E-2</v>
      </c>
      <c r="D557">
        <f t="shared" si="16"/>
        <v>0</v>
      </c>
      <c r="E557" s="53">
        <f>'VaR Model'!$G$21</f>
        <v>-1.5036332051297405E-2</v>
      </c>
      <c r="F557">
        <f t="shared" si="17"/>
        <v>0</v>
      </c>
    </row>
    <row r="558" spans="1:6" x14ac:dyDescent="0.35">
      <c r="A558" s="2">
        <f>'VaR Model'!C558</f>
        <v>45384</v>
      </c>
      <c r="B558" s="48">
        <f>'VaR Model'!D558</f>
        <v>-6.8707304179189618E-3</v>
      </c>
      <c r="C558" s="47">
        <f>'VaR Model'!$G$16</f>
        <v>-2.1486122599356419E-2</v>
      </c>
      <c r="D558">
        <f t="shared" si="16"/>
        <v>0</v>
      </c>
      <c r="E558" s="53">
        <f>'VaR Model'!$G$21</f>
        <v>-1.5036332051297405E-2</v>
      </c>
      <c r="F558">
        <f t="shared" si="17"/>
        <v>0</v>
      </c>
    </row>
    <row r="559" spans="1:6" x14ac:dyDescent="0.35">
      <c r="A559" s="2">
        <f>'VaR Model'!C559</f>
        <v>45385</v>
      </c>
      <c r="B559" s="48">
        <f>'VaR Model'!D559</f>
        <v>-1.7840018066045984E-4</v>
      </c>
      <c r="C559" s="47">
        <f>'VaR Model'!$G$16</f>
        <v>-2.1486122599356419E-2</v>
      </c>
      <c r="D559">
        <f t="shared" si="16"/>
        <v>0</v>
      </c>
      <c r="E559" s="53">
        <f>'VaR Model'!$G$21</f>
        <v>-1.5036332051297405E-2</v>
      </c>
      <c r="F559">
        <f t="shared" si="17"/>
        <v>0</v>
      </c>
    </row>
    <row r="560" spans="1:6" x14ac:dyDescent="0.35">
      <c r="A560" s="2">
        <f>'VaR Model'!C560</f>
        <v>45386</v>
      </c>
      <c r="B560" s="48">
        <f>'VaR Model'!D560</f>
        <v>1.6059598023513088E-3</v>
      </c>
      <c r="C560" s="47">
        <f>'VaR Model'!$G$16</f>
        <v>-2.1486122599356419E-2</v>
      </c>
      <c r="D560">
        <f t="shared" si="16"/>
        <v>0</v>
      </c>
      <c r="E560" s="53">
        <f>'VaR Model'!$G$21</f>
        <v>-1.5036332051297405E-2</v>
      </c>
      <c r="F560">
        <f t="shared" si="17"/>
        <v>0</v>
      </c>
    </row>
    <row r="561" spans="1:6" x14ac:dyDescent="0.35">
      <c r="A561" s="2">
        <f>'VaR Model'!C561</f>
        <v>45387</v>
      </c>
      <c r="B561" s="48">
        <f>'VaR Model'!D561</f>
        <v>4.8155047257842829E-4</v>
      </c>
      <c r="C561" s="47">
        <f>'VaR Model'!$G$16</f>
        <v>-2.1486122599356419E-2</v>
      </c>
      <c r="D561">
        <f t="shared" si="16"/>
        <v>0</v>
      </c>
      <c r="E561" s="53">
        <f>'VaR Model'!$G$21</f>
        <v>-1.5036332051297405E-2</v>
      </c>
      <c r="F561">
        <f t="shared" si="17"/>
        <v>0</v>
      </c>
    </row>
    <row r="562" spans="1:6" x14ac:dyDescent="0.35">
      <c r="A562" s="2">
        <f>'VaR Model'!C562</f>
        <v>45390</v>
      </c>
      <c r="B562" s="48">
        <f>'VaR Model'!D562</f>
        <v>4.2633445548111246E-3</v>
      </c>
      <c r="C562" s="47">
        <f>'VaR Model'!$G$16</f>
        <v>-2.1486122599356419E-2</v>
      </c>
      <c r="D562">
        <f t="shared" si="16"/>
        <v>0</v>
      </c>
      <c r="E562" s="53">
        <f>'VaR Model'!$G$21</f>
        <v>-1.5036332051297405E-2</v>
      </c>
      <c r="F562">
        <f t="shared" si="17"/>
        <v>0</v>
      </c>
    </row>
    <row r="563" spans="1:6" x14ac:dyDescent="0.35">
      <c r="A563" s="2">
        <f>'VaR Model'!C563</f>
        <v>45391</v>
      </c>
      <c r="B563" s="48">
        <f>'VaR Model'!D563</f>
        <v>4.4461838075193641E-4</v>
      </c>
      <c r="C563" s="47">
        <f>'VaR Model'!$G$16</f>
        <v>-2.1486122599356419E-2</v>
      </c>
      <c r="D563">
        <f t="shared" si="16"/>
        <v>0</v>
      </c>
      <c r="E563" s="53">
        <f>'VaR Model'!$G$21</f>
        <v>-1.5036332051297405E-2</v>
      </c>
      <c r="F563">
        <f t="shared" si="17"/>
        <v>0</v>
      </c>
    </row>
    <row r="564" spans="1:6" x14ac:dyDescent="0.35">
      <c r="A564" s="2">
        <f>'VaR Model'!C564</f>
        <v>45392</v>
      </c>
      <c r="B564" s="48">
        <f>'VaR Model'!D564</f>
        <v>1.1015438197215137E-2</v>
      </c>
      <c r="C564" s="47">
        <f>'VaR Model'!$G$16</f>
        <v>-2.1486122599356419E-2</v>
      </c>
      <c r="D564">
        <f t="shared" si="16"/>
        <v>0</v>
      </c>
      <c r="E564" s="53">
        <f>'VaR Model'!$G$21</f>
        <v>-1.5036332051297405E-2</v>
      </c>
      <c r="F564">
        <f t="shared" si="17"/>
        <v>0</v>
      </c>
    </row>
    <row r="565" spans="1:6" x14ac:dyDescent="0.35">
      <c r="A565" s="2">
        <f>'VaR Model'!C565</f>
        <v>45394</v>
      </c>
      <c r="B565" s="48">
        <f>'VaR Model'!D565</f>
        <v>-7.859363118994182E-3</v>
      </c>
      <c r="C565" s="47">
        <f>'VaR Model'!$G$16</f>
        <v>-2.1486122599356419E-2</v>
      </c>
      <c r="D565">
        <f t="shared" si="16"/>
        <v>0</v>
      </c>
      <c r="E565" s="53">
        <f>'VaR Model'!$G$21</f>
        <v>-1.5036332051297405E-2</v>
      </c>
      <c r="F565">
        <f t="shared" si="17"/>
        <v>0</v>
      </c>
    </row>
    <row r="566" spans="1:6" x14ac:dyDescent="0.35">
      <c r="A566" s="2">
        <f>'VaR Model'!C566</f>
        <v>45397</v>
      </c>
      <c r="B566" s="48">
        <f>'VaR Model'!D566</f>
        <v>-1.2333799493543948E-2</v>
      </c>
      <c r="C566" s="47">
        <f>'VaR Model'!$G$16</f>
        <v>-2.1486122599356419E-2</v>
      </c>
      <c r="D566">
        <f t="shared" si="16"/>
        <v>0</v>
      </c>
      <c r="E566" s="53">
        <f>'VaR Model'!$G$21</f>
        <v>-1.5036332051297405E-2</v>
      </c>
      <c r="F566">
        <f t="shared" si="17"/>
        <v>0</v>
      </c>
    </row>
    <row r="567" spans="1:6" x14ac:dyDescent="0.35">
      <c r="A567" s="2">
        <f>'VaR Model'!C567</f>
        <v>45398</v>
      </c>
      <c r="B567" s="48">
        <f>'VaR Model'!D567</f>
        <v>-1.2934026336441138E-2</v>
      </c>
      <c r="C567" s="47">
        <f>'VaR Model'!$G$16</f>
        <v>-2.1486122599356419E-2</v>
      </c>
      <c r="D567">
        <f t="shared" si="16"/>
        <v>0</v>
      </c>
      <c r="E567" s="53">
        <f>'VaR Model'!$G$21</f>
        <v>-1.5036332051297405E-2</v>
      </c>
      <c r="F567">
        <f t="shared" si="17"/>
        <v>0</v>
      </c>
    </row>
    <row r="568" spans="1:6" x14ac:dyDescent="0.35">
      <c r="A568" s="2">
        <f>'VaR Model'!C568</f>
        <v>45400</v>
      </c>
      <c r="B568" s="48">
        <f>'VaR Model'!D568</f>
        <v>-5.5999407370039295E-3</v>
      </c>
      <c r="C568" s="47">
        <f>'VaR Model'!$G$16</f>
        <v>-2.1486122599356419E-2</v>
      </c>
      <c r="D568">
        <f t="shared" si="16"/>
        <v>0</v>
      </c>
      <c r="E568" s="53">
        <f>'VaR Model'!$G$21</f>
        <v>-1.5036332051297405E-2</v>
      </c>
      <c r="F568">
        <f t="shared" si="17"/>
        <v>0</v>
      </c>
    </row>
    <row r="569" spans="1:6" x14ac:dyDescent="0.35">
      <c r="A569" s="2">
        <f>'VaR Model'!C569</f>
        <v>45401</v>
      </c>
      <c r="B569" s="48">
        <f>'VaR Model'!D569</f>
        <v>2.8185668706452987E-3</v>
      </c>
      <c r="C569" s="47">
        <f>'VaR Model'!$G$16</f>
        <v>-2.1486122599356419E-2</v>
      </c>
      <c r="D569">
        <f t="shared" si="16"/>
        <v>0</v>
      </c>
      <c r="E569" s="53">
        <f>'VaR Model'!$G$21</f>
        <v>-1.5036332051297405E-2</v>
      </c>
      <c r="F569">
        <f t="shared" si="17"/>
        <v>0</v>
      </c>
    </row>
    <row r="570" spans="1:6" x14ac:dyDescent="0.35">
      <c r="A570" s="2">
        <f>'VaR Model'!C570</f>
        <v>45404</v>
      </c>
      <c r="B570" s="48">
        <f>'VaR Model'!D570</f>
        <v>1.0200746101244662E-2</v>
      </c>
      <c r="C570" s="47">
        <f>'VaR Model'!$G$16</f>
        <v>-2.1486122599356419E-2</v>
      </c>
      <c r="D570">
        <f t="shared" si="16"/>
        <v>0</v>
      </c>
      <c r="E570" s="53">
        <f>'VaR Model'!$G$21</f>
        <v>-1.5036332051297405E-2</v>
      </c>
      <c r="F570">
        <f t="shared" si="17"/>
        <v>0</v>
      </c>
    </row>
    <row r="571" spans="1:6" x14ac:dyDescent="0.35">
      <c r="A571" s="2">
        <f>'VaR Model'!C571</f>
        <v>45405</v>
      </c>
      <c r="B571" s="48">
        <f>'VaR Model'!D571</f>
        <v>1.5584940105653655E-3</v>
      </c>
      <c r="C571" s="47">
        <f>'VaR Model'!$G$16</f>
        <v>-2.1486122599356419E-2</v>
      </c>
      <c r="D571">
        <f t="shared" si="16"/>
        <v>0</v>
      </c>
      <c r="E571" s="53">
        <f>'VaR Model'!$G$21</f>
        <v>-1.5036332051297405E-2</v>
      </c>
      <c r="F571">
        <f t="shared" si="17"/>
        <v>0</v>
      </c>
    </row>
    <row r="572" spans="1:6" x14ac:dyDescent="0.35">
      <c r="A572" s="2">
        <f>'VaR Model'!C572</f>
        <v>45406</v>
      </c>
      <c r="B572" s="48">
        <f>'VaR Model'!D572</f>
        <v>-4.0991547048517003E-3</v>
      </c>
      <c r="C572" s="47">
        <f>'VaR Model'!$G$16</f>
        <v>-2.1486122599356419E-2</v>
      </c>
      <c r="D572">
        <f t="shared" si="16"/>
        <v>0</v>
      </c>
      <c r="E572" s="53">
        <f>'VaR Model'!$G$21</f>
        <v>-1.5036332051297405E-2</v>
      </c>
      <c r="F572">
        <f t="shared" si="17"/>
        <v>0</v>
      </c>
    </row>
    <row r="573" spans="1:6" x14ac:dyDescent="0.35">
      <c r="A573" s="2">
        <f>'VaR Model'!C573</f>
        <v>45407</v>
      </c>
      <c r="B573" s="48">
        <f>'VaR Model'!D573</f>
        <v>1.0593805305702107E-2</v>
      </c>
      <c r="C573" s="47">
        <f>'VaR Model'!$G$16</f>
        <v>-2.1486122599356419E-2</v>
      </c>
      <c r="D573">
        <f t="shared" si="16"/>
        <v>0</v>
      </c>
      <c r="E573" s="53">
        <f>'VaR Model'!$G$21</f>
        <v>-1.5036332051297405E-2</v>
      </c>
      <c r="F573">
        <f t="shared" si="17"/>
        <v>0</v>
      </c>
    </row>
    <row r="574" spans="1:6" x14ac:dyDescent="0.35">
      <c r="A574" s="2">
        <f>'VaR Model'!C574</f>
        <v>45408</v>
      </c>
      <c r="B574" s="48">
        <f>'VaR Model'!D574</f>
        <v>-3.7068363498302791E-3</v>
      </c>
      <c r="C574" s="47">
        <f>'VaR Model'!$G$16</f>
        <v>-2.1486122599356419E-2</v>
      </c>
      <c r="D574">
        <f t="shared" si="16"/>
        <v>0</v>
      </c>
      <c r="E574" s="53">
        <f>'VaR Model'!$G$21</f>
        <v>-1.5036332051297405E-2</v>
      </c>
      <c r="F574">
        <f t="shared" si="17"/>
        <v>0</v>
      </c>
    </row>
    <row r="575" spans="1:6" x14ac:dyDescent="0.35">
      <c r="A575" s="2">
        <f>'VaR Model'!C575</f>
        <v>45411</v>
      </c>
      <c r="B575" s="48">
        <f>'VaR Model'!D575</f>
        <v>1.3273789489097092E-2</v>
      </c>
      <c r="C575" s="47">
        <f>'VaR Model'!$G$16</f>
        <v>-2.1486122599356419E-2</v>
      </c>
      <c r="D575">
        <f t="shared" si="16"/>
        <v>0</v>
      </c>
      <c r="E575" s="53">
        <f>'VaR Model'!$G$21</f>
        <v>-1.5036332051297405E-2</v>
      </c>
      <c r="F575">
        <f t="shared" si="17"/>
        <v>0</v>
      </c>
    </row>
    <row r="576" spans="1:6" x14ac:dyDescent="0.35">
      <c r="A576" s="2">
        <f>'VaR Model'!C576</f>
        <v>45412</v>
      </c>
      <c r="B576" s="48">
        <f>'VaR Model'!D576</f>
        <v>-7.151654751316322E-3</v>
      </c>
      <c r="C576" s="47">
        <f>'VaR Model'!$G$16</f>
        <v>-2.1486122599356419E-2</v>
      </c>
      <c r="D576">
        <f t="shared" si="16"/>
        <v>0</v>
      </c>
      <c r="E576" s="53">
        <f>'VaR Model'!$G$21</f>
        <v>-1.5036332051297405E-2</v>
      </c>
      <c r="F576">
        <f t="shared" si="17"/>
        <v>0</v>
      </c>
    </row>
    <row r="577" spans="1:6" x14ac:dyDescent="0.35">
      <c r="A577" s="2">
        <f>'VaR Model'!C577</f>
        <v>45414</v>
      </c>
      <c r="B577" s="48">
        <f>'VaR Model'!D577</f>
        <v>9.1726968822070901E-4</v>
      </c>
      <c r="C577" s="47">
        <f>'VaR Model'!$G$16</f>
        <v>-2.1486122599356419E-2</v>
      </c>
      <c r="D577">
        <f t="shared" si="16"/>
        <v>0</v>
      </c>
      <c r="E577" s="53">
        <f>'VaR Model'!$G$21</f>
        <v>-1.5036332051297405E-2</v>
      </c>
      <c r="F577">
        <f t="shared" si="17"/>
        <v>0</v>
      </c>
    </row>
    <row r="578" spans="1:6" x14ac:dyDescent="0.35">
      <c r="A578" s="2">
        <f>'VaR Model'!C578</f>
        <v>45415</v>
      </c>
      <c r="B578" s="48">
        <f>'VaR Model'!D578</f>
        <v>-5.9685411683812351E-3</v>
      </c>
      <c r="C578" s="47">
        <f>'VaR Model'!$G$16</f>
        <v>-2.1486122599356419E-2</v>
      </c>
      <c r="D578">
        <f t="shared" si="16"/>
        <v>0</v>
      </c>
      <c r="E578" s="53">
        <f>'VaR Model'!$G$21</f>
        <v>-1.5036332051297405E-2</v>
      </c>
      <c r="F578">
        <f t="shared" si="17"/>
        <v>0</v>
      </c>
    </row>
    <row r="579" spans="1:6" x14ac:dyDescent="0.35">
      <c r="A579" s="2">
        <f>'VaR Model'!C579</f>
        <v>45418</v>
      </c>
      <c r="B579" s="48">
        <f>'VaR Model'!D579</f>
        <v>3.2851453910205212E-3</v>
      </c>
      <c r="C579" s="47">
        <f>'VaR Model'!$G$16</f>
        <v>-2.1486122599356419E-2</v>
      </c>
      <c r="D579">
        <f t="shared" ref="D579:D642" si="18">IF(B579&lt;C579,1,0)</f>
        <v>0</v>
      </c>
      <c r="E579" s="53">
        <f>'VaR Model'!$G$21</f>
        <v>-1.5036332051297405E-2</v>
      </c>
      <c r="F579">
        <f t="shared" ref="F579:F642" si="19">IF(B579&lt;E579,1,0)</f>
        <v>0</v>
      </c>
    </row>
    <row r="580" spans="1:6" x14ac:dyDescent="0.35">
      <c r="A580" s="2">
        <f>'VaR Model'!C580</f>
        <v>45419</v>
      </c>
      <c r="B580" s="48">
        <f>'VaR Model'!D580</f>
        <v>2.5038676883659644E-3</v>
      </c>
      <c r="C580" s="47">
        <f>'VaR Model'!$G$16</f>
        <v>-2.1486122599356419E-2</v>
      </c>
      <c r="D580">
        <f t="shared" si="18"/>
        <v>0</v>
      </c>
      <c r="E580" s="53">
        <f>'VaR Model'!$G$21</f>
        <v>-1.5036332051297405E-2</v>
      </c>
      <c r="F580">
        <f t="shared" si="19"/>
        <v>0</v>
      </c>
    </row>
    <row r="581" spans="1:6" x14ac:dyDescent="0.35">
      <c r="A581" s="2">
        <f>'VaR Model'!C581</f>
        <v>45420</v>
      </c>
      <c r="B581" s="48">
        <f>'VaR Model'!D581</f>
        <v>-8.6851482656238573E-4</v>
      </c>
      <c r="C581" s="47">
        <f>'VaR Model'!$G$16</f>
        <v>-2.1486122599356419E-2</v>
      </c>
      <c r="D581">
        <f t="shared" si="18"/>
        <v>0</v>
      </c>
      <c r="E581" s="53">
        <f>'VaR Model'!$G$21</f>
        <v>-1.5036332051297405E-2</v>
      </c>
      <c r="F581">
        <f t="shared" si="19"/>
        <v>0</v>
      </c>
    </row>
    <row r="582" spans="1:6" x14ac:dyDescent="0.35">
      <c r="A582" s="2">
        <f>'VaR Model'!C582</f>
        <v>45421</v>
      </c>
      <c r="B582" s="48">
        <f>'VaR Model'!D582</f>
        <v>-1.1255701337869186E-2</v>
      </c>
      <c r="C582" s="47">
        <f>'VaR Model'!$G$16</f>
        <v>-2.1486122599356419E-2</v>
      </c>
      <c r="D582">
        <f t="shared" si="18"/>
        <v>0</v>
      </c>
      <c r="E582" s="53">
        <f>'VaR Model'!$G$21</f>
        <v>-1.5036332051297405E-2</v>
      </c>
      <c r="F582">
        <f t="shared" si="19"/>
        <v>0</v>
      </c>
    </row>
    <row r="583" spans="1:6" x14ac:dyDescent="0.35">
      <c r="A583" s="2">
        <f>'VaR Model'!C583</f>
        <v>45422</v>
      </c>
      <c r="B583" s="48">
        <f>'VaR Model'!D583</f>
        <v>5.6148501857185718E-4</v>
      </c>
      <c r="C583" s="47">
        <f>'VaR Model'!$G$16</f>
        <v>-2.1486122599356419E-2</v>
      </c>
      <c r="D583">
        <f t="shared" si="18"/>
        <v>0</v>
      </c>
      <c r="E583" s="53">
        <f>'VaR Model'!$G$21</f>
        <v>-1.5036332051297405E-2</v>
      </c>
      <c r="F583">
        <f t="shared" si="19"/>
        <v>0</v>
      </c>
    </row>
    <row r="584" spans="1:6" x14ac:dyDescent="0.35">
      <c r="A584" s="2">
        <f>'VaR Model'!C584</f>
        <v>45425</v>
      </c>
      <c r="B584" s="48">
        <f>'VaR Model'!D584</f>
        <v>3.1332937367069534E-3</v>
      </c>
      <c r="C584" s="47">
        <f>'VaR Model'!$G$16</f>
        <v>-2.1486122599356419E-2</v>
      </c>
      <c r="D584">
        <f t="shared" si="18"/>
        <v>0</v>
      </c>
      <c r="E584" s="53">
        <f>'VaR Model'!$G$21</f>
        <v>-1.5036332051297405E-2</v>
      </c>
      <c r="F584">
        <f t="shared" si="19"/>
        <v>0</v>
      </c>
    </row>
    <row r="585" spans="1:6" x14ac:dyDescent="0.35">
      <c r="A585" s="2">
        <f>'VaR Model'!C585</f>
        <v>45426</v>
      </c>
      <c r="B585" s="48">
        <f>'VaR Model'!D585</f>
        <v>-2.0633511191151051E-3</v>
      </c>
      <c r="C585" s="47">
        <f>'VaR Model'!$G$16</f>
        <v>-2.1486122599356419E-2</v>
      </c>
      <c r="D585">
        <f t="shared" si="18"/>
        <v>0</v>
      </c>
      <c r="E585" s="53">
        <f>'VaR Model'!$G$21</f>
        <v>-1.5036332051297405E-2</v>
      </c>
      <c r="F585">
        <f t="shared" si="19"/>
        <v>0</v>
      </c>
    </row>
    <row r="586" spans="1:6" x14ac:dyDescent="0.35">
      <c r="A586" s="2">
        <f>'VaR Model'!C586</f>
        <v>45427</v>
      </c>
      <c r="B586" s="48">
        <f>'VaR Model'!D586</f>
        <v>-2.4830226954477893E-3</v>
      </c>
      <c r="C586" s="47">
        <f>'VaR Model'!$G$16</f>
        <v>-2.1486122599356419E-2</v>
      </c>
      <c r="D586">
        <f t="shared" si="18"/>
        <v>0</v>
      </c>
      <c r="E586" s="53">
        <f>'VaR Model'!$G$21</f>
        <v>-1.5036332051297405E-2</v>
      </c>
      <c r="F586">
        <f t="shared" si="19"/>
        <v>0</v>
      </c>
    </row>
    <row r="587" spans="1:6" x14ac:dyDescent="0.35">
      <c r="A587" s="2">
        <f>'VaR Model'!C587</f>
        <v>45428</v>
      </c>
      <c r="B587" s="48">
        <f>'VaR Model'!D587</f>
        <v>9.8735467406117668E-3</v>
      </c>
      <c r="C587" s="47">
        <f>'VaR Model'!$G$16</f>
        <v>-2.1486122599356419E-2</v>
      </c>
      <c r="D587">
        <f t="shared" si="18"/>
        <v>0</v>
      </c>
      <c r="E587" s="53">
        <f>'VaR Model'!$G$21</f>
        <v>-1.5036332051297405E-2</v>
      </c>
      <c r="F587">
        <f t="shared" si="19"/>
        <v>0</v>
      </c>
    </row>
    <row r="588" spans="1:6" x14ac:dyDescent="0.35">
      <c r="A588" s="2">
        <f>'VaR Model'!C588</f>
        <v>45429</v>
      </c>
      <c r="B588" s="48">
        <f>'VaR Model'!D588</f>
        <v>-1.1236122949138008E-3</v>
      </c>
      <c r="C588" s="47">
        <f>'VaR Model'!$G$16</f>
        <v>-2.1486122599356419E-2</v>
      </c>
      <c r="D588">
        <f t="shared" si="18"/>
        <v>0</v>
      </c>
      <c r="E588" s="53">
        <f>'VaR Model'!$G$21</f>
        <v>-1.5036332051297405E-2</v>
      </c>
      <c r="F588">
        <f t="shared" si="19"/>
        <v>0</v>
      </c>
    </row>
    <row r="589" spans="1:6" x14ac:dyDescent="0.35">
      <c r="A589" s="2">
        <f>'VaR Model'!C589</f>
        <v>45430</v>
      </c>
      <c r="B589" s="48">
        <f>'VaR Model'!D589</f>
        <v>1.3122192855254906E-2</v>
      </c>
      <c r="C589" s="47">
        <f>'VaR Model'!$G$16</f>
        <v>-2.1486122599356419E-2</v>
      </c>
      <c r="D589">
        <f t="shared" si="18"/>
        <v>0</v>
      </c>
      <c r="E589" s="53">
        <f>'VaR Model'!$G$21</f>
        <v>-1.5036332051297405E-2</v>
      </c>
      <c r="F589">
        <f t="shared" si="19"/>
        <v>0</v>
      </c>
    </row>
    <row r="590" spans="1:6" x14ac:dyDescent="0.35">
      <c r="A590" s="2">
        <f>'VaR Model'!C590</f>
        <v>45433</v>
      </c>
      <c r="B590" s="48">
        <f>'VaR Model'!D590</f>
        <v>-1.7581242022110751E-2</v>
      </c>
      <c r="C590" s="47">
        <f>'VaR Model'!$G$16</f>
        <v>-2.1486122599356419E-2</v>
      </c>
      <c r="D590">
        <f t="shared" si="18"/>
        <v>0</v>
      </c>
      <c r="E590" s="53">
        <f>'VaR Model'!$G$21</f>
        <v>-1.5036332051297405E-2</v>
      </c>
      <c r="F590">
        <f t="shared" si="19"/>
        <v>1</v>
      </c>
    </row>
    <row r="591" spans="1:6" x14ac:dyDescent="0.35">
      <c r="A591" s="2">
        <f>'VaR Model'!C591</f>
        <v>45434</v>
      </c>
      <c r="B591" s="48">
        <f>'VaR Model'!D591</f>
        <v>7.4275291325904096E-3</v>
      </c>
      <c r="C591" s="47">
        <f>'VaR Model'!$G$16</f>
        <v>-2.1486122599356419E-2</v>
      </c>
      <c r="D591">
        <f t="shared" si="18"/>
        <v>0</v>
      </c>
      <c r="E591" s="53">
        <f>'VaR Model'!$G$21</f>
        <v>-1.5036332051297405E-2</v>
      </c>
      <c r="F591">
        <f t="shared" si="19"/>
        <v>0</v>
      </c>
    </row>
    <row r="592" spans="1:6" x14ac:dyDescent="0.35">
      <c r="A592" s="2">
        <f>'VaR Model'!C592</f>
        <v>45435</v>
      </c>
      <c r="B592" s="48">
        <f>'VaR Model'!D592</f>
        <v>1.3860272069421701E-2</v>
      </c>
      <c r="C592" s="47">
        <f>'VaR Model'!$G$16</f>
        <v>-2.1486122599356419E-2</v>
      </c>
      <c r="D592">
        <f t="shared" si="18"/>
        <v>0</v>
      </c>
      <c r="E592" s="53">
        <f>'VaR Model'!$G$21</f>
        <v>-1.5036332051297405E-2</v>
      </c>
      <c r="F592">
        <f t="shared" si="19"/>
        <v>0</v>
      </c>
    </row>
    <row r="593" spans="1:6" x14ac:dyDescent="0.35">
      <c r="A593" s="2">
        <f>'VaR Model'!C593</f>
        <v>45436</v>
      </c>
      <c r="B593" s="48">
        <f>'VaR Model'!D593</f>
        <v>-6.843342971508749E-3</v>
      </c>
      <c r="C593" s="47">
        <f>'VaR Model'!$G$16</f>
        <v>-2.1486122599356419E-2</v>
      </c>
      <c r="D593">
        <f t="shared" si="18"/>
        <v>0</v>
      </c>
      <c r="E593" s="53">
        <f>'VaR Model'!$G$21</f>
        <v>-1.5036332051297405E-2</v>
      </c>
      <c r="F593">
        <f t="shared" si="19"/>
        <v>0</v>
      </c>
    </row>
    <row r="594" spans="1:6" x14ac:dyDescent="0.35">
      <c r="A594" s="2">
        <f>'VaR Model'!C594</f>
        <v>45439</v>
      </c>
      <c r="B594" s="48">
        <f>'VaR Model'!D594</f>
        <v>-3.7259567330283909E-3</v>
      </c>
      <c r="C594" s="47">
        <f>'VaR Model'!$G$16</f>
        <v>-2.1486122599356419E-2</v>
      </c>
      <c r="D594">
        <f t="shared" si="18"/>
        <v>0</v>
      </c>
      <c r="E594" s="53">
        <f>'VaR Model'!$G$21</f>
        <v>-1.5036332051297405E-2</v>
      </c>
      <c r="F594">
        <f t="shared" si="19"/>
        <v>0</v>
      </c>
    </row>
    <row r="595" spans="1:6" x14ac:dyDescent="0.35">
      <c r="A595" s="2">
        <f>'VaR Model'!C595</f>
        <v>45440</v>
      </c>
      <c r="B595" s="48">
        <f>'VaR Model'!D595</f>
        <v>-3.9969713155875945E-3</v>
      </c>
      <c r="C595" s="47">
        <f>'VaR Model'!$G$16</f>
        <v>-2.1486122599356419E-2</v>
      </c>
      <c r="D595">
        <f t="shared" si="18"/>
        <v>0</v>
      </c>
      <c r="E595" s="53">
        <f>'VaR Model'!$G$21</f>
        <v>-1.5036332051297405E-2</v>
      </c>
      <c r="F595">
        <f t="shared" si="19"/>
        <v>0</v>
      </c>
    </row>
    <row r="596" spans="1:6" x14ac:dyDescent="0.35">
      <c r="A596" s="2">
        <f>'VaR Model'!C596</f>
        <v>45441</v>
      </c>
      <c r="B596" s="48">
        <f>'VaR Model'!D596</f>
        <v>-9.8061345431732592E-3</v>
      </c>
      <c r="C596" s="47">
        <f>'VaR Model'!$G$16</f>
        <v>-2.1486122599356419E-2</v>
      </c>
      <c r="D596">
        <f t="shared" si="18"/>
        <v>0</v>
      </c>
      <c r="E596" s="53">
        <f>'VaR Model'!$G$21</f>
        <v>-1.5036332051297405E-2</v>
      </c>
      <c r="F596">
        <f t="shared" si="19"/>
        <v>0</v>
      </c>
    </row>
    <row r="597" spans="1:6" x14ac:dyDescent="0.35">
      <c r="A597" s="2">
        <f>'VaR Model'!C597</f>
        <v>45442</v>
      </c>
      <c r="B597" s="48">
        <f>'VaR Model'!D597</f>
        <v>-1.0280367996299326E-2</v>
      </c>
      <c r="C597" s="47">
        <f>'VaR Model'!$G$16</f>
        <v>-2.1486122599356419E-2</v>
      </c>
      <c r="D597">
        <f t="shared" si="18"/>
        <v>0</v>
      </c>
      <c r="E597" s="53">
        <f>'VaR Model'!$G$21</f>
        <v>-1.5036332051297405E-2</v>
      </c>
      <c r="F597">
        <f t="shared" si="19"/>
        <v>0</v>
      </c>
    </row>
    <row r="598" spans="1:6" x14ac:dyDescent="0.35">
      <c r="A598" s="2">
        <f>'VaR Model'!C598</f>
        <v>45443</v>
      </c>
      <c r="B598" s="48">
        <f>'VaR Model'!D598</f>
        <v>-1.9781344947627424E-3</v>
      </c>
      <c r="C598" s="47">
        <f>'VaR Model'!$G$16</f>
        <v>-2.1486122599356419E-2</v>
      </c>
      <c r="D598">
        <f t="shared" si="18"/>
        <v>0</v>
      </c>
      <c r="E598" s="53">
        <f>'VaR Model'!$G$21</f>
        <v>-1.5036332051297405E-2</v>
      </c>
      <c r="F598">
        <f t="shared" si="19"/>
        <v>0</v>
      </c>
    </row>
    <row r="599" spans="1:6" x14ac:dyDescent="0.35">
      <c r="A599" s="2">
        <f>'VaR Model'!C599</f>
        <v>45446</v>
      </c>
      <c r="B599" s="48">
        <f>'VaR Model'!D599</f>
        <v>2.1113589614454614E-2</v>
      </c>
      <c r="C599" s="47">
        <f>'VaR Model'!$G$16</f>
        <v>-2.1486122599356419E-2</v>
      </c>
      <c r="D599">
        <f t="shared" si="18"/>
        <v>0</v>
      </c>
      <c r="E599" s="53">
        <f>'VaR Model'!$G$21</f>
        <v>-1.5036332051297405E-2</v>
      </c>
      <c r="F599">
        <f t="shared" si="19"/>
        <v>0</v>
      </c>
    </row>
    <row r="600" spans="1:6" x14ac:dyDescent="0.35">
      <c r="A600" s="2">
        <f>'VaR Model'!C600</f>
        <v>45447</v>
      </c>
      <c r="B600" s="48">
        <f>'VaR Model'!D600</f>
        <v>-3.9701927000150419E-2</v>
      </c>
      <c r="C600" s="47">
        <f>'VaR Model'!$G$16</f>
        <v>-2.1486122599356419E-2</v>
      </c>
      <c r="D600">
        <f t="shared" si="18"/>
        <v>1</v>
      </c>
      <c r="E600" s="53">
        <f>'VaR Model'!$G$21</f>
        <v>-1.5036332051297405E-2</v>
      </c>
      <c r="F600">
        <f t="shared" si="19"/>
        <v>1</v>
      </c>
    </row>
    <row r="601" spans="1:6" x14ac:dyDescent="0.35">
      <c r="A601" s="2">
        <f>'VaR Model'!C601</f>
        <v>45448</v>
      </c>
      <c r="B601" s="48">
        <f>'VaR Model'!D601</f>
        <v>2.4149171191485304E-2</v>
      </c>
      <c r="C601" s="47">
        <f>'VaR Model'!$G$16</f>
        <v>-2.1486122599356419E-2</v>
      </c>
      <c r="D601">
        <f t="shared" si="18"/>
        <v>0</v>
      </c>
      <c r="E601" s="53">
        <f>'VaR Model'!$G$21</f>
        <v>-1.5036332051297405E-2</v>
      </c>
      <c r="F601">
        <f t="shared" si="19"/>
        <v>0</v>
      </c>
    </row>
    <row r="602" spans="1:6" x14ac:dyDescent="0.35">
      <c r="A602" s="2">
        <f>'VaR Model'!C602</f>
        <v>45449</v>
      </c>
      <c r="B602" s="48">
        <f>'VaR Model'!D602</f>
        <v>1.4432839107150541E-2</v>
      </c>
      <c r="C602" s="47">
        <f>'VaR Model'!$G$16</f>
        <v>-2.1486122599356419E-2</v>
      </c>
      <c r="D602">
        <f t="shared" si="18"/>
        <v>0</v>
      </c>
      <c r="E602" s="53">
        <f>'VaR Model'!$G$21</f>
        <v>-1.5036332051297405E-2</v>
      </c>
      <c r="F602">
        <f t="shared" si="19"/>
        <v>0</v>
      </c>
    </row>
    <row r="603" spans="1:6" x14ac:dyDescent="0.35">
      <c r="A603" s="2">
        <f>'VaR Model'!C603</f>
        <v>45450</v>
      </c>
      <c r="B603" s="48">
        <f>'VaR Model'!D603</f>
        <v>2.0484708769482857E-2</v>
      </c>
      <c r="C603" s="47">
        <f>'VaR Model'!$G$16</f>
        <v>-2.1486122599356419E-2</v>
      </c>
      <c r="D603">
        <f t="shared" si="18"/>
        <v>0</v>
      </c>
      <c r="E603" s="53">
        <f>'VaR Model'!$G$21</f>
        <v>-1.5036332051297405E-2</v>
      </c>
      <c r="F603">
        <f t="shared" si="19"/>
        <v>0</v>
      </c>
    </row>
    <row r="604" spans="1:6" x14ac:dyDescent="0.35">
      <c r="A604" s="2">
        <f>'VaR Model'!C604</f>
        <v>45453</v>
      </c>
      <c r="B604" s="48">
        <f>'VaR Model'!D604</f>
        <v>-6.7394290975294965E-3</v>
      </c>
      <c r="C604" s="47">
        <f>'VaR Model'!$G$16</f>
        <v>-2.1486122599356419E-2</v>
      </c>
      <c r="D604">
        <f t="shared" si="18"/>
        <v>0</v>
      </c>
      <c r="E604" s="53">
        <f>'VaR Model'!$G$21</f>
        <v>-1.5036332051297405E-2</v>
      </c>
      <c r="F604">
        <f t="shared" si="19"/>
        <v>0</v>
      </c>
    </row>
    <row r="605" spans="1:6" x14ac:dyDescent="0.35">
      <c r="A605" s="2">
        <f>'VaR Model'!C605</f>
        <v>45454</v>
      </c>
      <c r="B605" s="48">
        <f>'VaR Model'!D605</f>
        <v>-5.6801160525707575E-3</v>
      </c>
      <c r="C605" s="47">
        <f>'VaR Model'!$G$16</f>
        <v>-2.1486122599356419E-2</v>
      </c>
      <c r="D605">
        <f t="shared" si="18"/>
        <v>0</v>
      </c>
      <c r="E605" s="53">
        <f>'VaR Model'!$G$21</f>
        <v>-1.5036332051297405E-2</v>
      </c>
      <c r="F605">
        <f t="shared" si="19"/>
        <v>0</v>
      </c>
    </row>
    <row r="606" spans="1:6" x14ac:dyDescent="0.35">
      <c r="A606" s="2">
        <f>'VaR Model'!C606</f>
        <v>45455</v>
      </c>
      <c r="B606" s="48">
        <f>'VaR Model'!D606</f>
        <v>-1.6518541811106758E-3</v>
      </c>
      <c r="C606" s="47">
        <f>'VaR Model'!$G$16</f>
        <v>-2.1486122599356419E-2</v>
      </c>
      <c r="D606">
        <f t="shared" si="18"/>
        <v>0</v>
      </c>
      <c r="E606" s="53">
        <f>'VaR Model'!$G$21</f>
        <v>-1.5036332051297405E-2</v>
      </c>
      <c r="F606">
        <f t="shared" si="19"/>
        <v>0</v>
      </c>
    </row>
    <row r="607" spans="1:6" x14ac:dyDescent="0.35">
      <c r="A607" s="2">
        <f>'VaR Model'!C607</f>
        <v>45456</v>
      </c>
      <c r="B607" s="48">
        <f>'VaR Model'!D607</f>
        <v>7.3314100624114517E-4</v>
      </c>
      <c r="C607" s="47">
        <f>'VaR Model'!$G$16</f>
        <v>-2.1486122599356419E-2</v>
      </c>
      <c r="D607">
        <f t="shared" si="18"/>
        <v>0</v>
      </c>
      <c r="E607" s="53">
        <f>'VaR Model'!$G$21</f>
        <v>-1.5036332051297405E-2</v>
      </c>
      <c r="F607">
        <f t="shared" si="19"/>
        <v>0</v>
      </c>
    </row>
    <row r="608" spans="1:6" x14ac:dyDescent="0.35">
      <c r="A608" s="2">
        <f>'VaR Model'!C608</f>
        <v>45457</v>
      </c>
      <c r="B608" s="48">
        <f>'VaR Model'!D608</f>
        <v>-1.3115922084406928E-3</v>
      </c>
      <c r="C608" s="47">
        <f>'VaR Model'!$G$16</f>
        <v>-2.1486122599356419E-2</v>
      </c>
      <c r="D608">
        <f t="shared" si="18"/>
        <v>0</v>
      </c>
      <c r="E608" s="53">
        <f>'VaR Model'!$G$21</f>
        <v>-1.5036332051297405E-2</v>
      </c>
      <c r="F608">
        <f t="shared" si="19"/>
        <v>0</v>
      </c>
    </row>
    <row r="609" spans="1:6" x14ac:dyDescent="0.35">
      <c r="A609" s="2">
        <f>'VaR Model'!C609</f>
        <v>45461</v>
      </c>
      <c r="B609" s="48">
        <f>'VaR Model'!D609</f>
        <v>2.8003799466051267E-3</v>
      </c>
      <c r="C609" s="47">
        <f>'VaR Model'!$G$16</f>
        <v>-2.1486122599356419E-2</v>
      </c>
      <c r="D609">
        <f t="shared" si="18"/>
        <v>0</v>
      </c>
      <c r="E609" s="53">
        <f>'VaR Model'!$G$21</f>
        <v>-1.5036332051297405E-2</v>
      </c>
      <c r="F609">
        <f t="shared" si="19"/>
        <v>0</v>
      </c>
    </row>
    <row r="610" spans="1:6" x14ac:dyDescent="0.35">
      <c r="A610" s="2">
        <f>'VaR Model'!C610</f>
        <v>45462</v>
      </c>
      <c r="B610" s="48">
        <f>'VaR Model'!D610</f>
        <v>-5.8136139162711297E-4</v>
      </c>
      <c r="C610" s="47">
        <f>'VaR Model'!$G$16</f>
        <v>-2.1486122599356419E-2</v>
      </c>
      <c r="D610">
        <f t="shared" si="18"/>
        <v>0</v>
      </c>
      <c r="E610" s="53">
        <f>'VaR Model'!$G$21</f>
        <v>-1.5036332051297405E-2</v>
      </c>
      <c r="F610">
        <f t="shared" si="19"/>
        <v>0</v>
      </c>
    </row>
    <row r="611" spans="1:6" x14ac:dyDescent="0.35">
      <c r="A611" s="2">
        <f>'VaR Model'!C611</f>
        <v>45463</v>
      </c>
      <c r="B611" s="48">
        <f>'VaR Model'!D611</f>
        <v>3.8085055462213561E-3</v>
      </c>
      <c r="C611" s="47">
        <f>'VaR Model'!$G$16</f>
        <v>-2.1486122599356419E-2</v>
      </c>
      <c r="D611">
        <f t="shared" si="18"/>
        <v>0</v>
      </c>
      <c r="E611" s="53">
        <f>'VaR Model'!$G$21</f>
        <v>-1.5036332051297405E-2</v>
      </c>
      <c r="F611">
        <f t="shared" si="19"/>
        <v>0</v>
      </c>
    </row>
    <row r="612" spans="1:6" x14ac:dyDescent="0.35">
      <c r="A612" s="2">
        <f>'VaR Model'!C612</f>
        <v>45464</v>
      </c>
      <c r="B612" s="48">
        <f>'VaR Model'!D612</f>
        <v>-5.9272702626660383E-4</v>
      </c>
      <c r="C612" s="47">
        <f>'VaR Model'!$G$16</f>
        <v>-2.1486122599356419E-2</v>
      </c>
      <c r="D612">
        <f t="shared" si="18"/>
        <v>0</v>
      </c>
      <c r="E612" s="53">
        <f>'VaR Model'!$G$21</f>
        <v>-1.5036332051297405E-2</v>
      </c>
      <c r="F612">
        <f t="shared" si="19"/>
        <v>0</v>
      </c>
    </row>
    <row r="613" spans="1:6" x14ac:dyDescent="0.35">
      <c r="A613" s="2">
        <f>'VaR Model'!C613</f>
        <v>45467</v>
      </c>
      <c r="B613" s="48">
        <f>'VaR Model'!D613</f>
        <v>1.5556989654796868E-3</v>
      </c>
      <c r="C613" s="47">
        <f>'VaR Model'!$G$16</f>
        <v>-2.1486122599356419E-2</v>
      </c>
      <c r="D613">
        <f t="shared" si="18"/>
        <v>0</v>
      </c>
      <c r="E613" s="53">
        <f>'VaR Model'!$G$21</f>
        <v>-1.5036332051297405E-2</v>
      </c>
      <c r="F613">
        <f t="shared" si="19"/>
        <v>0</v>
      </c>
    </row>
    <row r="614" spans="1:6" x14ac:dyDescent="0.35">
      <c r="A614" s="2">
        <f>'VaR Model'!C614</f>
        <v>45468</v>
      </c>
      <c r="B614" s="48">
        <f>'VaR Model'!D614</f>
        <v>9.5163037236560902E-3</v>
      </c>
      <c r="C614" s="47">
        <f>'VaR Model'!$G$16</f>
        <v>-2.1486122599356419E-2</v>
      </c>
      <c r="D614">
        <f t="shared" si="18"/>
        <v>0</v>
      </c>
      <c r="E614" s="53">
        <f>'VaR Model'!$G$21</f>
        <v>-1.5036332051297405E-2</v>
      </c>
      <c r="F614">
        <f t="shared" si="19"/>
        <v>0</v>
      </c>
    </row>
    <row r="615" spans="1:6" x14ac:dyDescent="0.35">
      <c r="A615" s="2">
        <f>'VaR Model'!C615</f>
        <v>45469</v>
      </c>
      <c r="B615" s="48">
        <f>'VaR Model'!D615</f>
        <v>1.2437162416475998E-2</v>
      </c>
      <c r="C615" s="47">
        <f>'VaR Model'!$G$16</f>
        <v>-2.1486122599356419E-2</v>
      </c>
      <c r="D615">
        <f t="shared" si="18"/>
        <v>0</v>
      </c>
      <c r="E615" s="53">
        <f>'VaR Model'!$G$21</f>
        <v>-1.5036332051297405E-2</v>
      </c>
      <c r="F615">
        <f t="shared" si="19"/>
        <v>0</v>
      </c>
    </row>
    <row r="616" spans="1:6" x14ac:dyDescent="0.35">
      <c r="A616" s="2">
        <f>'VaR Model'!C616</f>
        <v>45470</v>
      </c>
      <c r="B616" s="48">
        <f>'VaR Model'!D616</f>
        <v>1.1473332448452523E-2</v>
      </c>
      <c r="C616" s="47">
        <f>'VaR Model'!$G$16</f>
        <v>-2.1486122599356419E-2</v>
      </c>
      <c r="D616">
        <f t="shared" si="18"/>
        <v>0</v>
      </c>
      <c r="E616" s="53">
        <f>'VaR Model'!$G$21</f>
        <v>-1.5036332051297405E-2</v>
      </c>
      <c r="F616">
        <f t="shared" si="19"/>
        <v>0</v>
      </c>
    </row>
    <row r="617" spans="1:6" x14ac:dyDescent="0.35">
      <c r="A617" s="2">
        <f>'VaR Model'!C617</f>
        <v>45471</v>
      </c>
      <c r="B617" s="48">
        <f>'VaR Model'!D617</f>
        <v>-1.5531092221898416E-3</v>
      </c>
      <c r="C617" s="47">
        <f>'VaR Model'!$G$16</f>
        <v>-2.1486122599356419E-2</v>
      </c>
      <c r="D617">
        <f t="shared" si="18"/>
        <v>0</v>
      </c>
      <c r="E617" s="53">
        <f>'VaR Model'!$G$21</f>
        <v>-1.5036332051297405E-2</v>
      </c>
      <c r="F617">
        <f t="shared" si="19"/>
        <v>0</v>
      </c>
    </row>
    <row r="618" spans="1:6" x14ac:dyDescent="0.35">
      <c r="A618" s="2">
        <f>'VaR Model'!C618</f>
        <v>45474</v>
      </c>
      <c r="B618" s="48">
        <f>'VaR Model'!D618</f>
        <v>1.011062670795684E-2</v>
      </c>
      <c r="C618" s="47">
        <f>'VaR Model'!$G$16</f>
        <v>-2.1486122599356419E-2</v>
      </c>
      <c r="D618">
        <f t="shared" si="18"/>
        <v>0</v>
      </c>
      <c r="E618" s="53">
        <f>'VaR Model'!$G$21</f>
        <v>-1.5036332051297405E-2</v>
      </c>
      <c r="F618">
        <f t="shared" si="19"/>
        <v>0</v>
      </c>
    </row>
    <row r="619" spans="1:6" x14ac:dyDescent="0.35">
      <c r="A619" s="2">
        <f>'VaR Model'!C619</f>
        <v>45475</v>
      </c>
      <c r="B619" s="48">
        <f>'VaR Model'!D619</f>
        <v>1.1716185835048101E-3</v>
      </c>
      <c r="C619" s="47">
        <f>'VaR Model'!$G$16</f>
        <v>-2.1486122599356419E-2</v>
      </c>
      <c r="D619">
        <f t="shared" si="18"/>
        <v>0</v>
      </c>
      <c r="E619" s="53">
        <f>'VaR Model'!$G$21</f>
        <v>-1.5036332051297405E-2</v>
      </c>
      <c r="F619">
        <f t="shared" si="19"/>
        <v>0</v>
      </c>
    </row>
    <row r="620" spans="1:6" x14ac:dyDescent="0.35">
      <c r="A620" s="2">
        <f>'VaR Model'!C620</f>
        <v>45476</v>
      </c>
      <c r="B620" s="48">
        <f>'VaR Model'!D620</f>
        <v>-3.1548876385480628E-4</v>
      </c>
      <c r="C620" s="47">
        <f>'VaR Model'!$G$16</f>
        <v>-2.1486122599356419E-2</v>
      </c>
      <c r="D620">
        <f t="shared" si="18"/>
        <v>0</v>
      </c>
      <c r="E620" s="53">
        <f>'VaR Model'!$G$21</f>
        <v>-1.5036332051297405E-2</v>
      </c>
      <c r="F620">
        <f t="shared" si="19"/>
        <v>0</v>
      </c>
    </row>
    <row r="621" spans="1:6" x14ac:dyDescent="0.35">
      <c r="A621" s="2">
        <f>'VaR Model'!C621</f>
        <v>45477</v>
      </c>
      <c r="B621" s="48">
        <f>'VaR Model'!D621</f>
        <v>1.1342379315624542E-2</v>
      </c>
      <c r="C621" s="47">
        <f>'VaR Model'!$G$16</f>
        <v>-2.1486122599356419E-2</v>
      </c>
      <c r="D621">
        <f t="shared" si="18"/>
        <v>0</v>
      </c>
      <c r="E621" s="53">
        <f>'VaR Model'!$G$21</f>
        <v>-1.5036332051297405E-2</v>
      </c>
      <c r="F621">
        <f t="shared" si="19"/>
        <v>0</v>
      </c>
    </row>
    <row r="622" spans="1:6" x14ac:dyDescent="0.35">
      <c r="A622" s="2">
        <f>'VaR Model'!C622</f>
        <v>45478</v>
      </c>
      <c r="B622" s="48">
        <f>'VaR Model'!D622</f>
        <v>5.7572586085101497E-3</v>
      </c>
      <c r="C622" s="47">
        <f>'VaR Model'!$G$16</f>
        <v>-2.1486122599356419E-2</v>
      </c>
      <c r="D622">
        <f t="shared" si="18"/>
        <v>0</v>
      </c>
      <c r="E622" s="53">
        <f>'VaR Model'!$G$21</f>
        <v>-1.5036332051297405E-2</v>
      </c>
      <c r="F622">
        <f t="shared" si="19"/>
        <v>0</v>
      </c>
    </row>
    <row r="623" spans="1:6" x14ac:dyDescent="0.35">
      <c r="A623" s="2">
        <f>'VaR Model'!C623</f>
        <v>45481</v>
      </c>
      <c r="B623" s="48">
        <f>'VaR Model'!D623</f>
        <v>7.1289704038116752E-3</v>
      </c>
      <c r="C623" s="47">
        <f>'VaR Model'!$G$16</f>
        <v>-2.1486122599356419E-2</v>
      </c>
      <c r="D623">
        <f t="shared" si="18"/>
        <v>0</v>
      </c>
      <c r="E623" s="53">
        <f>'VaR Model'!$G$21</f>
        <v>-1.5036332051297405E-2</v>
      </c>
      <c r="F623">
        <f t="shared" si="19"/>
        <v>0</v>
      </c>
    </row>
    <row r="624" spans="1:6" x14ac:dyDescent="0.35">
      <c r="A624" s="2">
        <f>'VaR Model'!C624</f>
        <v>45482</v>
      </c>
      <c r="B624" s="48">
        <f>'VaR Model'!D624</f>
        <v>3.8865126419391008E-3</v>
      </c>
      <c r="C624" s="47">
        <f>'VaR Model'!$G$16</f>
        <v>-2.1486122599356419E-2</v>
      </c>
      <c r="D624">
        <f t="shared" si="18"/>
        <v>0</v>
      </c>
      <c r="E624" s="53">
        <f>'VaR Model'!$G$21</f>
        <v>-1.5036332051297405E-2</v>
      </c>
      <c r="F624">
        <f t="shared" si="19"/>
        <v>0</v>
      </c>
    </row>
    <row r="625" spans="1:6" x14ac:dyDescent="0.35">
      <c r="A625" s="2">
        <f>'VaR Model'!C625</f>
        <v>45483</v>
      </c>
      <c r="B625" s="48">
        <f>'VaR Model'!D625</f>
        <v>-7.0297436732962952E-3</v>
      </c>
      <c r="C625" s="47">
        <f>'VaR Model'!$G$16</f>
        <v>-2.1486122599356419E-2</v>
      </c>
      <c r="D625">
        <f t="shared" si="18"/>
        <v>0</v>
      </c>
      <c r="E625" s="53">
        <f>'VaR Model'!$G$21</f>
        <v>-1.5036332051297405E-2</v>
      </c>
      <c r="F625">
        <f t="shared" si="19"/>
        <v>0</v>
      </c>
    </row>
    <row r="626" spans="1:6" x14ac:dyDescent="0.35">
      <c r="A626" s="2">
        <f>'VaR Model'!C626</f>
        <v>45484</v>
      </c>
      <c r="B626" s="48">
        <f>'VaR Model'!D626</f>
        <v>3.2293796020929858E-3</v>
      </c>
      <c r="C626" s="47">
        <f>'VaR Model'!$G$16</f>
        <v>-2.1486122599356419E-2</v>
      </c>
      <c r="D626">
        <f t="shared" si="18"/>
        <v>0</v>
      </c>
      <c r="E626" s="53">
        <f>'VaR Model'!$G$21</f>
        <v>-1.5036332051297405E-2</v>
      </c>
      <c r="F626">
        <f t="shared" si="19"/>
        <v>0</v>
      </c>
    </row>
    <row r="627" spans="1:6" x14ac:dyDescent="0.35">
      <c r="A627" s="2">
        <f>'VaR Model'!C627</f>
        <v>45485</v>
      </c>
      <c r="B627" s="48">
        <f>'VaR Model'!D627</f>
        <v>2.1165184051026475E-2</v>
      </c>
      <c r="C627" s="47">
        <f>'VaR Model'!$G$16</f>
        <v>-2.1486122599356419E-2</v>
      </c>
      <c r="D627">
        <f t="shared" si="18"/>
        <v>0</v>
      </c>
      <c r="E627" s="53">
        <f>'VaR Model'!$G$21</f>
        <v>-1.5036332051297405E-2</v>
      </c>
      <c r="F627">
        <f t="shared" si="19"/>
        <v>0</v>
      </c>
    </row>
    <row r="628" spans="1:6" x14ac:dyDescent="0.35">
      <c r="A628" s="2">
        <f>'VaR Model'!C628</f>
        <v>45488</v>
      </c>
      <c r="B628" s="48">
        <f>'VaR Model'!D628</f>
        <v>2.1120737078028835E-4</v>
      </c>
      <c r="C628" s="47">
        <f>'VaR Model'!$G$16</f>
        <v>-2.1486122599356419E-2</v>
      </c>
      <c r="D628">
        <f t="shared" si="18"/>
        <v>0</v>
      </c>
      <c r="E628" s="53">
        <f>'VaR Model'!$G$21</f>
        <v>-1.5036332051297405E-2</v>
      </c>
      <c r="F628">
        <f t="shared" si="19"/>
        <v>0</v>
      </c>
    </row>
    <row r="629" spans="1:6" x14ac:dyDescent="0.35">
      <c r="A629" s="2">
        <f>'VaR Model'!C629</f>
        <v>45489</v>
      </c>
      <c r="B629" s="48">
        <f>'VaR Model'!D629</f>
        <v>2.5537852272601558E-3</v>
      </c>
      <c r="C629" s="47">
        <f>'VaR Model'!$G$16</f>
        <v>-2.1486122599356419E-2</v>
      </c>
      <c r="D629">
        <f t="shared" si="18"/>
        <v>0</v>
      </c>
      <c r="E629" s="53">
        <f>'VaR Model'!$G$21</f>
        <v>-1.5036332051297405E-2</v>
      </c>
      <c r="F629">
        <f t="shared" si="19"/>
        <v>0</v>
      </c>
    </row>
    <row r="630" spans="1:6" x14ac:dyDescent="0.35">
      <c r="A630" s="2">
        <f>'VaR Model'!C630</f>
        <v>45491</v>
      </c>
      <c r="B630" s="48">
        <f>'VaR Model'!D630</f>
        <v>1.5126573692586139E-2</v>
      </c>
      <c r="C630" s="47">
        <f>'VaR Model'!$G$16</f>
        <v>-2.1486122599356419E-2</v>
      </c>
      <c r="D630">
        <f t="shared" si="18"/>
        <v>0</v>
      </c>
      <c r="E630" s="53">
        <f>'VaR Model'!$G$21</f>
        <v>-1.5036332051297405E-2</v>
      </c>
      <c r="F630">
        <f t="shared" si="19"/>
        <v>0</v>
      </c>
    </row>
    <row r="631" spans="1:6" x14ac:dyDescent="0.35">
      <c r="A631" s="2">
        <f>'VaR Model'!C631</f>
        <v>45492</v>
      </c>
      <c r="B631" s="48">
        <f>'VaR Model'!D631</f>
        <v>8.6406189066834047E-4</v>
      </c>
      <c r="C631" s="47">
        <f>'VaR Model'!$G$16</f>
        <v>-2.1486122599356419E-2</v>
      </c>
      <c r="D631">
        <f t="shared" si="18"/>
        <v>0</v>
      </c>
      <c r="E631" s="53">
        <f>'VaR Model'!$G$21</f>
        <v>-1.5036332051297405E-2</v>
      </c>
      <c r="F631">
        <f t="shared" si="19"/>
        <v>0</v>
      </c>
    </row>
    <row r="632" spans="1:6" x14ac:dyDescent="0.35">
      <c r="A632" s="2">
        <f>'VaR Model'!C632</f>
        <v>45495</v>
      </c>
      <c r="B632" s="48">
        <f>'VaR Model'!D632</f>
        <v>-1.0450901639082614E-2</v>
      </c>
      <c r="C632" s="47">
        <f>'VaR Model'!$G$16</f>
        <v>-2.1486122599356419E-2</v>
      </c>
      <c r="D632">
        <f t="shared" si="18"/>
        <v>0</v>
      </c>
      <c r="E632" s="53">
        <f>'VaR Model'!$G$21</f>
        <v>-1.5036332051297405E-2</v>
      </c>
      <c r="F632">
        <f t="shared" si="19"/>
        <v>0</v>
      </c>
    </row>
    <row r="633" spans="1:6" x14ac:dyDescent="0.35">
      <c r="A633" s="2">
        <f>'VaR Model'!C633</f>
        <v>45496</v>
      </c>
      <c r="B633" s="48">
        <f>'VaR Model'!D633</f>
        <v>1.0216690951712293E-2</v>
      </c>
      <c r="C633" s="47">
        <f>'VaR Model'!$G$16</f>
        <v>-2.1486122599356419E-2</v>
      </c>
      <c r="D633">
        <f t="shared" si="18"/>
        <v>0</v>
      </c>
      <c r="E633" s="53">
        <f>'VaR Model'!$G$21</f>
        <v>-1.5036332051297405E-2</v>
      </c>
      <c r="F633">
        <f t="shared" si="19"/>
        <v>0</v>
      </c>
    </row>
    <row r="634" spans="1:6" x14ac:dyDescent="0.35">
      <c r="A634" s="2">
        <f>'VaR Model'!C634</f>
        <v>45497</v>
      </c>
      <c r="B634" s="48">
        <f>'VaR Model'!D634</f>
        <v>1.0434345439956369E-3</v>
      </c>
      <c r="C634" s="47">
        <f>'VaR Model'!$G$16</f>
        <v>-2.1486122599356419E-2</v>
      </c>
      <c r="D634">
        <f t="shared" si="18"/>
        <v>0</v>
      </c>
      <c r="E634" s="53">
        <f>'VaR Model'!$G$21</f>
        <v>-1.5036332051297405E-2</v>
      </c>
      <c r="F634">
        <f t="shared" si="19"/>
        <v>0</v>
      </c>
    </row>
    <row r="635" spans="1:6" x14ac:dyDescent="0.35">
      <c r="A635" s="2">
        <f>'VaR Model'!C635</f>
        <v>45498</v>
      </c>
      <c r="B635" s="48">
        <f>'VaR Model'!D635</f>
        <v>-6.4979355055697864E-3</v>
      </c>
      <c r="C635" s="47">
        <f>'VaR Model'!$G$16</f>
        <v>-2.1486122599356419E-2</v>
      </c>
      <c r="D635">
        <f t="shared" si="18"/>
        <v>0</v>
      </c>
      <c r="E635" s="53">
        <f>'VaR Model'!$G$21</f>
        <v>-1.5036332051297405E-2</v>
      </c>
      <c r="F635">
        <f t="shared" si="19"/>
        <v>0</v>
      </c>
    </row>
    <row r="636" spans="1:6" x14ac:dyDescent="0.35">
      <c r="A636" s="2">
        <f>'VaR Model'!C636</f>
        <v>45499</v>
      </c>
      <c r="B636" s="48">
        <f>'VaR Model'!D636</f>
        <v>1.7541420775363654E-2</v>
      </c>
      <c r="C636" s="47">
        <f>'VaR Model'!$G$16</f>
        <v>-2.1486122599356419E-2</v>
      </c>
      <c r="D636">
        <f t="shared" si="18"/>
        <v>0</v>
      </c>
      <c r="E636" s="53">
        <f>'VaR Model'!$G$21</f>
        <v>-1.5036332051297405E-2</v>
      </c>
      <c r="F636">
        <f t="shared" si="19"/>
        <v>0</v>
      </c>
    </row>
    <row r="637" spans="1:6" x14ac:dyDescent="0.35">
      <c r="A637" s="2">
        <f>'VaR Model'!C637</f>
        <v>45502</v>
      </c>
      <c r="B637" s="48">
        <f>'VaR Model'!D637</f>
        <v>-1.234156242948781E-3</v>
      </c>
      <c r="C637" s="47">
        <f>'VaR Model'!$G$16</f>
        <v>-2.1486122599356419E-2</v>
      </c>
      <c r="D637">
        <f t="shared" si="18"/>
        <v>0</v>
      </c>
      <c r="E637" s="53">
        <f>'VaR Model'!$G$21</f>
        <v>-1.5036332051297405E-2</v>
      </c>
      <c r="F637">
        <f t="shared" si="19"/>
        <v>0</v>
      </c>
    </row>
    <row r="638" spans="1:6" x14ac:dyDescent="0.35">
      <c r="A638" s="2">
        <f>'VaR Model'!C638</f>
        <v>45503</v>
      </c>
      <c r="B638" s="48">
        <f>'VaR Model'!D638</f>
        <v>-4.0238399812186562E-3</v>
      </c>
      <c r="C638" s="47">
        <f>'VaR Model'!$G$16</f>
        <v>-2.1486122599356419E-2</v>
      </c>
      <c r="D638">
        <f t="shared" si="18"/>
        <v>0</v>
      </c>
      <c r="E638" s="53">
        <f>'VaR Model'!$G$21</f>
        <v>-1.5036332051297405E-2</v>
      </c>
      <c r="F638">
        <f t="shared" si="19"/>
        <v>0</v>
      </c>
    </row>
    <row r="639" spans="1:6" x14ac:dyDescent="0.35">
      <c r="A639" s="2">
        <f>'VaR Model'!C639</f>
        <v>45504</v>
      </c>
      <c r="B639" s="48">
        <f>'VaR Model'!D639</f>
        <v>2.0543972517689047E-3</v>
      </c>
      <c r="C639" s="47">
        <f>'VaR Model'!$G$16</f>
        <v>-2.1486122599356419E-2</v>
      </c>
      <c r="D639">
        <f t="shared" si="18"/>
        <v>0</v>
      </c>
      <c r="E639" s="53">
        <f>'VaR Model'!$G$21</f>
        <v>-1.5036332051297405E-2</v>
      </c>
      <c r="F639">
        <f t="shared" si="19"/>
        <v>0</v>
      </c>
    </row>
    <row r="640" spans="1:6" x14ac:dyDescent="0.35">
      <c r="A640" s="2">
        <f>'VaR Model'!C640</f>
        <v>45505</v>
      </c>
      <c r="B640" s="48">
        <f>'VaR Model'!D640</f>
        <v>-1.2989523468074251E-3</v>
      </c>
      <c r="C640" s="47">
        <f>'VaR Model'!$G$16</f>
        <v>-2.1486122599356419E-2</v>
      </c>
      <c r="D640">
        <f t="shared" si="18"/>
        <v>0</v>
      </c>
      <c r="E640" s="53">
        <f>'VaR Model'!$G$21</f>
        <v>-1.5036332051297405E-2</v>
      </c>
      <c r="F640">
        <f t="shared" si="19"/>
        <v>0</v>
      </c>
    </row>
    <row r="641" spans="1:6" x14ac:dyDescent="0.35">
      <c r="A641" s="2">
        <f>'VaR Model'!C641</f>
        <v>45506</v>
      </c>
      <c r="B641" s="48">
        <f>'VaR Model'!D641</f>
        <v>-1.4918813561925804E-2</v>
      </c>
      <c r="C641" s="47">
        <f>'VaR Model'!$G$16</f>
        <v>-2.1486122599356419E-2</v>
      </c>
      <c r="D641">
        <f t="shared" si="18"/>
        <v>0</v>
      </c>
      <c r="E641" s="53">
        <f>'VaR Model'!$G$21</f>
        <v>-1.5036332051297405E-2</v>
      </c>
      <c r="F641">
        <f t="shared" si="19"/>
        <v>0</v>
      </c>
    </row>
    <row r="642" spans="1:6" x14ac:dyDescent="0.35">
      <c r="A642" s="2">
        <f>'VaR Model'!C642</f>
        <v>45509</v>
      </c>
      <c r="B642" s="48">
        <f>'VaR Model'!D642</f>
        <v>-2.6205383142125293E-2</v>
      </c>
      <c r="C642" s="47">
        <f>'VaR Model'!$G$16</f>
        <v>-2.1486122599356419E-2</v>
      </c>
      <c r="D642">
        <f t="shared" si="18"/>
        <v>1</v>
      </c>
      <c r="E642" s="53">
        <f>'VaR Model'!$G$21</f>
        <v>-1.5036332051297405E-2</v>
      </c>
      <c r="F642">
        <f t="shared" si="19"/>
        <v>1</v>
      </c>
    </row>
    <row r="643" spans="1:6" x14ac:dyDescent="0.35">
      <c r="A643" s="2">
        <f>'VaR Model'!C643</f>
        <v>45510</v>
      </c>
      <c r="B643" s="48">
        <f>'VaR Model'!D643</f>
        <v>1.0302280333365562E-3</v>
      </c>
      <c r="C643" s="47">
        <f>'VaR Model'!$G$16</f>
        <v>-2.1486122599356419E-2</v>
      </c>
      <c r="D643">
        <f t="shared" ref="D643:D706" si="20">IF(B643&lt;C643,1,0)</f>
        <v>0</v>
      </c>
      <c r="E643" s="53">
        <f>'VaR Model'!$G$21</f>
        <v>-1.5036332051297405E-2</v>
      </c>
      <c r="F643">
        <f t="shared" ref="F643:F706" si="21">IF(B643&lt;E643,1,0)</f>
        <v>0</v>
      </c>
    </row>
    <row r="644" spans="1:6" x14ac:dyDescent="0.35">
      <c r="A644" s="2">
        <f>'VaR Model'!C644</f>
        <v>45511</v>
      </c>
      <c r="B644" s="48">
        <f>'VaR Model'!D644</f>
        <v>1.0726261783743658E-2</v>
      </c>
      <c r="C644" s="47">
        <f>'VaR Model'!$G$16</f>
        <v>-2.1486122599356419E-2</v>
      </c>
      <c r="D644">
        <f t="shared" si="20"/>
        <v>0</v>
      </c>
      <c r="E644" s="53">
        <f>'VaR Model'!$G$21</f>
        <v>-1.5036332051297405E-2</v>
      </c>
      <c r="F644">
        <f t="shared" si="21"/>
        <v>0</v>
      </c>
    </row>
    <row r="645" spans="1:6" x14ac:dyDescent="0.35">
      <c r="A645" s="2">
        <f>'VaR Model'!C645</f>
        <v>45512</v>
      </c>
      <c r="B645" s="48">
        <f>'VaR Model'!D645</f>
        <v>-9.4667028460764611E-3</v>
      </c>
      <c r="C645" s="47">
        <f>'VaR Model'!$G$16</f>
        <v>-2.1486122599356419E-2</v>
      </c>
      <c r="D645">
        <f t="shared" si="20"/>
        <v>0</v>
      </c>
      <c r="E645" s="53">
        <f>'VaR Model'!$G$21</f>
        <v>-1.5036332051297405E-2</v>
      </c>
      <c r="F645">
        <f t="shared" si="21"/>
        <v>0</v>
      </c>
    </row>
    <row r="646" spans="1:6" x14ac:dyDescent="0.35">
      <c r="A646" s="2">
        <f>'VaR Model'!C646</f>
        <v>45513</v>
      </c>
      <c r="B646" s="48">
        <f>'VaR Model'!D646</f>
        <v>1.0925435791101702E-2</v>
      </c>
      <c r="C646" s="47">
        <f>'VaR Model'!$G$16</f>
        <v>-2.1486122599356419E-2</v>
      </c>
      <c r="D646">
        <f t="shared" si="20"/>
        <v>0</v>
      </c>
      <c r="E646" s="53">
        <f>'VaR Model'!$G$21</f>
        <v>-1.5036332051297405E-2</v>
      </c>
      <c r="F646">
        <f t="shared" si="21"/>
        <v>0</v>
      </c>
    </row>
    <row r="647" spans="1:6" x14ac:dyDescent="0.35">
      <c r="A647" s="2">
        <f>'VaR Model'!C647</f>
        <v>45516</v>
      </c>
      <c r="B647" s="48">
        <f>'VaR Model'!D647</f>
        <v>-7.6744582104907363E-4</v>
      </c>
      <c r="C647" s="47">
        <f>'VaR Model'!$G$16</f>
        <v>-2.1486122599356419E-2</v>
      </c>
      <c r="D647">
        <f t="shared" si="20"/>
        <v>0</v>
      </c>
      <c r="E647" s="53">
        <f>'VaR Model'!$G$21</f>
        <v>-1.5036332051297405E-2</v>
      </c>
      <c r="F647">
        <f t="shared" si="21"/>
        <v>0</v>
      </c>
    </row>
    <row r="648" spans="1:6" x14ac:dyDescent="0.35">
      <c r="A648" s="2">
        <f>'VaR Model'!C648</f>
        <v>45517</v>
      </c>
      <c r="B648" s="48">
        <f>'VaR Model'!D648</f>
        <v>-2.1504965515433956E-3</v>
      </c>
      <c r="C648" s="47">
        <f>'VaR Model'!$G$16</f>
        <v>-2.1486122599356419E-2</v>
      </c>
      <c r="D648">
        <f t="shared" si="20"/>
        <v>0</v>
      </c>
      <c r="E648" s="53">
        <f>'VaR Model'!$G$21</f>
        <v>-1.5036332051297405E-2</v>
      </c>
      <c r="F648">
        <f t="shared" si="21"/>
        <v>0</v>
      </c>
    </row>
    <row r="649" spans="1:6" x14ac:dyDescent="0.35">
      <c r="A649" s="2">
        <f>'VaR Model'!C649</f>
        <v>45518</v>
      </c>
      <c r="B649" s="48">
        <f>'VaR Model'!D649</f>
        <v>6.9824818024396126E-3</v>
      </c>
      <c r="C649" s="47">
        <f>'VaR Model'!$G$16</f>
        <v>-2.1486122599356419E-2</v>
      </c>
      <c r="D649">
        <f t="shared" si="20"/>
        <v>0</v>
      </c>
      <c r="E649" s="53">
        <f>'VaR Model'!$G$21</f>
        <v>-1.5036332051297405E-2</v>
      </c>
      <c r="F649">
        <f t="shared" si="21"/>
        <v>0</v>
      </c>
    </row>
    <row r="650" spans="1:6" x14ac:dyDescent="0.35">
      <c r="A650" s="2">
        <f>'VaR Model'!C650</f>
        <v>45520</v>
      </c>
      <c r="B650" s="48">
        <f>'VaR Model'!D650</f>
        <v>2.0208863869671016E-2</v>
      </c>
      <c r="C650" s="47">
        <f>'VaR Model'!$G$16</f>
        <v>-2.1486122599356419E-2</v>
      </c>
      <c r="D650">
        <f t="shared" si="20"/>
        <v>0</v>
      </c>
      <c r="E650" s="53">
        <f>'VaR Model'!$G$21</f>
        <v>-1.5036332051297405E-2</v>
      </c>
      <c r="F650">
        <f t="shared" si="21"/>
        <v>0</v>
      </c>
    </row>
    <row r="651" spans="1:6" x14ac:dyDescent="0.35">
      <c r="A651" s="2">
        <f>'VaR Model'!C651</f>
        <v>45523</v>
      </c>
      <c r="B651" s="48">
        <f>'VaR Model'!D651</f>
        <v>2.9281064928700488E-3</v>
      </c>
      <c r="C651" s="47">
        <f>'VaR Model'!$G$16</f>
        <v>-2.1486122599356419E-2</v>
      </c>
      <c r="D651">
        <f t="shared" si="20"/>
        <v>0</v>
      </c>
      <c r="E651" s="53">
        <f>'VaR Model'!$G$21</f>
        <v>-1.5036332051297405E-2</v>
      </c>
      <c r="F651">
        <f t="shared" si="21"/>
        <v>0</v>
      </c>
    </row>
    <row r="652" spans="1:6" x14ac:dyDescent="0.35">
      <c r="A652" s="2">
        <f>'VaR Model'!C652</f>
        <v>45524</v>
      </c>
      <c r="B652" s="48">
        <f>'VaR Model'!D652</f>
        <v>2.82370127566725E-3</v>
      </c>
      <c r="C652" s="47">
        <f>'VaR Model'!$G$16</f>
        <v>-2.1486122599356419E-2</v>
      </c>
      <c r="D652">
        <f t="shared" si="20"/>
        <v>0</v>
      </c>
      <c r="E652" s="53">
        <f>'VaR Model'!$G$21</f>
        <v>-1.5036332051297405E-2</v>
      </c>
      <c r="F652">
        <f t="shared" si="21"/>
        <v>0</v>
      </c>
    </row>
    <row r="653" spans="1:6" x14ac:dyDescent="0.35">
      <c r="A653" s="2">
        <f>'VaR Model'!C653</f>
        <v>45525</v>
      </c>
      <c r="B653" s="48">
        <f>'VaR Model'!D653</f>
        <v>3.5069772704489867E-3</v>
      </c>
      <c r="C653" s="47">
        <f>'VaR Model'!$G$16</f>
        <v>-2.1486122599356419E-2</v>
      </c>
      <c r="D653">
        <f t="shared" si="20"/>
        <v>0</v>
      </c>
      <c r="E653" s="53">
        <f>'VaR Model'!$G$21</f>
        <v>-1.5036332051297405E-2</v>
      </c>
      <c r="F653">
        <f t="shared" si="21"/>
        <v>0</v>
      </c>
    </row>
    <row r="654" spans="1:6" x14ac:dyDescent="0.35">
      <c r="A654" s="2">
        <f>'VaR Model'!C654</f>
        <v>45526</v>
      </c>
      <c r="B654" s="48">
        <f>'VaR Model'!D654</f>
        <v>9.566913910785418E-4</v>
      </c>
      <c r="C654" s="47">
        <f>'VaR Model'!$G$16</f>
        <v>-2.1486122599356419E-2</v>
      </c>
      <c r="D654">
        <f t="shared" si="20"/>
        <v>0</v>
      </c>
      <c r="E654" s="53">
        <f>'VaR Model'!$G$21</f>
        <v>-1.5036332051297405E-2</v>
      </c>
      <c r="F654">
        <f t="shared" si="21"/>
        <v>0</v>
      </c>
    </row>
    <row r="655" spans="1:6" x14ac:dyDescent="0.35">
      <c r="A655" s="2">
        <f>'VaR Model'!C655</f>
        <v>45527</v>
      </c>
      <c r="B655" s="48">
        <f>'VaR Model'!D655</f>
        <v>-8.2909462274738247E-4</v>
      </c>
      <c r="C655" s="47">
        <f>'VaR Model'!$G$16</f>
        <v>-2.1486122599356419E-2</v>
      </c>
      <c r="D655">
        <f t="shared" si="20"/>
        <v>0</v>
      </c>
      <c r="E655" s="53">
        <f>'VaR Model'!$G$21</f>
        <v>-1.5036332051297405E-2</v>
      </c>
      <c r="F655">
        <f t="shared" si="21"/>
        <v>0</v>
      </c>
    </row>
    <row r="656" spans="1:6" x14ac:dyDescent="0.35">
      <c r="A656" s="2">
        <f>'VaR Model'!C656</f>
        <v>45530</v>
      </c>
      <c r="B656" s="48">
        <f>'VaR Model'!D656</f>
        <v>6.4845080556071273E-3</v>
      </c>
      <c r="C656" s="47">
        <f>'VaR Model'!$G$16</f>
        <v>-2.1486122599356419E-2</v>
      </c>
      <c r="D656">
        <f t="shared" si="20"/>
        <v>0</v>
      </c>
      <c r="E656" s="53">
        <f>'VaR Model'!$G$21</f>
        <v>-1.5036332051297405E-2</v>
      </c>
      <c r="F656">
        <f t="shared" si="21"/>
        <v>0</v>
      </c>
    </row>
    <row r="657" spans="1:6" x14ac:dyDescent="0.35">
      <c r="A657" s="2">
        <f>'VaR Model'!C657</f>
        <v>45531</v>
      </c>
      <c r="B657" s="48">
        <f>'VaR Model'!D657</f>
        <v>7.985624613248408E-4</v>
      </c>
      <c r="C657" s="47">
        <f>'VaR Model'!$G$16</f>
        <v>-2.1486122599356419E-2</v>
      </c>
      <c r="D657">
        <f t="shared" si="20"/>
        <v>0</v>
      </c>
      <c r="E657" s="53">
        <f>'VaR Model'!$G$21</f>
        <v>-1.5036332051297405E-2</v>
      </c>
      <c r="F657">
        <f t="shared" si="21"/>
        <v>0</v>
      </c>
    </row>
    <row r="658" spans="1:6" x14ac:dyDescent="0.35">
      <c r="A658" s="2">
        <f>'VaR Model'!C658</f>
        <v>45532</v>
      </c>
      <c r="B658" s="48">
        <f>'VaR Model'!D658</f>
        <v>2.4419743969262596E-3</v>
      </c>
      <c r="C658" s="47">
        <f>'VaR Model'!$G$16</f>
        <v>-2.1486122599356419E-2</v>
      </c>
      <c r="D658">
        <f t="shared" si="20"/>
        <v>0</v>
      </c>
      <c r="E658" s="53">
        <f>'VaR Model'!$G$21</f>
        <v>-1.5036332051297405E-2</v>
      </c>
      <c r="F658">
        <f t="shared" si="21"/>
        <v>0</v>
      </c>
    </row>
    <row r="659" spans="1:6" x14ac:dyDescent="0.35">
      <c r="A659" s="2">
        <f>'VaR Model'!C659</f>
        <v>45533</v>
      </c>
      <c r="B659" s="48">
        <f>'VaR Model'!D659</f>
        <v>5.4534284320307547E-3</v>
      </c>
      <c r="C659" s="47">
        <f>'VaR Model'!$G$16</f>
        <v>-2.1486122599356419E-2</v>
      </c>
      <c r="D659">
        <f t="shared" si="20"/>
        <v>0</v>
      </c>
      <c r="E659" s="53">
        <f>'VaR Model'!$G$21</f>
        <v>-1.5036332051297405E-2</v>
      </c>
      <c r="F659">
        <f t="shared" si="21"/>
        <v>0</v>
      </c>
    </row>
    <row r="660" spans="1:6" x14ac:dyDescent="0.35">
      <c r="A660" s="2">
        <f>'VaR Model'!C660</f>
        <v>45534</v>
      </c>
      <c r="B660" s="48">
        <f>'VaR Model'!D660</f>
        <v>1.3463545538679449E-3</v>
      </c>
      <c r="C660" s="47">
        <f>'VaR Model'!$G$16</f>
        <v>-2.1486122599356419E-2</v>
      </c>
      <c r="D660">
        <f t="shared" si="20"/>
        <v>0</v>
      </c>
      <c r="E660" s="53">
        <f>'VaR Model'!$G$21</f>
        <v>-1.5036332051297405E-2</v>
      </c>
      <c r="F660">
        <f t="shared" si="21"/>
        <v>0</v>
      </c>
    </row>
    <row r="661" spans="1:6" x14ac:dyDescent="0.35">
      <c r="A661" s="2">
        <f>'VaR Model'!C661</f>
        <v>45537</v>
      </c>
      <c r="B661" s="48">
        <f>'VaR Model'!D661</f>
        <v>4.9062257934820675E-3</v>
      </c>
      <c r="C661" s="47">
        <f>'VaR Model'!$G$16</f>
        <v>-2.1486122599356419E-2</v>
      </c>
      <c r="D661">
        <f t="shared" si="20"/>
        <v>0</v>
      </c>
      <c r="E661" s="53">
        <f>'VaR Model'!$G$21</f>
        <v>-1.5036332051297405E-2</v>
      </c>
      <c r="F661">
        <f t="shared" si="21"/>
        <v>0</v>
      </c>
    </row>
    <row r="662" spans="1:6" x14ac:dyDescent="0.35">
      <c r="A662" s="2">
        <f>'VaR Model'!C662</f>
        <v>45538</v>
      </c>
      <c r="B662" s="48">
        <f>'VaR Model'!D662</f>
        <v>-1.0950779268231936E-3</v>
      </c>
      <c r="C662" s="47">
        <f>'VaR Model'!$G$16</f>
        <v>-2.1486122599356419E-2</v>
      </c>
      <c r="D662">
        <f t="shared" si="20"/>
        <v>0</v>
      </c>
      <c r="E662" s="53">
        <f>'VaR Model'!$G$21</f>
        <v>-1.5036332051297405E-2</v>
      </c>
      <c r="F662">
        <f t="shared" si="21"/>
        <v>0</v>
      </c>
    </row>
    <row r="663" spans="1:6" x14ac:dyDescent="0.35">
      <c r="A663" s="2">
        <f>'VaR Model'!C663</f>
        <v>45539</v>
      </c>
      <c r="B663" s="48">
        <f>'VaR Model'!D663</f>
        <v>-5.7325235864402373E-3</v>
      </c>
      <c r="C663" s="47">
        <f>'VaR Model'!$G$16</f>
        <v>-2.1486122599356419E-2</v>
      </c>
      <c r="D663">
        <f t="shared" si="20"/>
        <v>0</v>
      </c>
      <c r="E663" s="53">
        <f>'VaR Model'!$G$21</f>
        <v>-1.5036332051297405E-2</v>
      </c>
      <c r="F663">
        <f t="shared" si="21"/>
        <v>0</v>
      </c>
    </row>
    <row r="664" spans="1:6" x14ac:dyDescent="0.35">
      <c r="A664" s="2">
        <f>'VaR Model'!C664</f>
        <v>45540</v>
      </c>
      <c r="B664" s="48">
        <f>'VaR Model'!D664</f>
        <v>-6.4900122709483964E-5</v>
      </c>
      <c r="C664" s="47">
        <f>'VaR Model'!$G$16</f>
        <v>-2.1486122599356419E-2</v>
      </c>
      <c r="D664">
        <f t="shared" si="20"/>
        <v>0</v>
      </c>
      <c r="E664" s="53">
        <f>'VaR Model'!$G$21</f>
        <v>-1.5036332051297405E-2</v>
      </c>
      <c r="F664">
        <f t="shared" si="21"/>
        <v>0</v>
      </c>
    </row>
    <row r="665" spans="1:6" x14ac:dyDescent="0.35">
      <c r="A665" s="2">
        <f>'VaR Model'!C665</f>
        <v>45541</v>
      </c>
      <c r="B665" s="48">
        <f>'VaR Model'!D665</f>
        <v>-1.623438425771976E-2</v>
      </c>
      <c r="C665" s="47">
        <f>'VaR Model'!$G$16</f>
        <v>-2.1486122599356419E-2</v>
      </c>
      <c r="D665">
        <f t="shared" si="20"/>
        <v>0</v>
      </c>
      <c r="E665" s="53">
        <f>'VaR Model'!$G$21</f>
        <v>-1.5036332051297405E-2</v>
      </c>
      <c r="F665">
        <f t="shared" si="21"/>
        <v>1</v>
      </c>
    </row>
    <row r="666" spans="1:6" x14ac:dyDescent="0.35">
      <c r="A666" s="2">
        <f>'VaR Model'!C666</f>
        <v>45544</v>
      </c>
      <c r="B666" s="48">
        <f>'VaR Model'!D666</f>
        <v>6.9582080301929979E-3</v>
      </c>
      <c r="C666" s="47">
        <f>'VaR Model'!$G$16</f>
        <v>-2.1486122599356419E-2</v>
      </c>
      <c r="D666">
        <f t="shared" si="20"/>
        <v>0</v>
      </c>
      <c r="E666" s="53">
        <f>'VaR Model'!$G$21</f>
        <v>-1.5036332051297405E-2</v>
      </c>
      <c r="F666">
        <f t="shared" si="21"/>
        <v>0</v>
      </c>
    </row>
    <row r="667" spans="1:6" x14ac:dyDescent="0.35">
      <c r="A667" s="2">
        <f>'VaR Model'!C667</f>
        <v>45545</v>
      </c>
      <c r="B667" s="48">
        <f>'VaR Model'!D667</f>
        <v>5.4259121119350773E-3</v>
      </c>
      <c r="C667" s="47">
        <f>'VaR Model'!$G$16</f>
        <v>-2.1486122599356419E-2</v>
      </c>
      <c r="D667">
        <f t="shared" si="20"/>
        <v>0</v>
      </c>
      <c r="E667" s="53">
        <f>'VaR Model'!$G$21</f>
        <v>-1.5036332051297405E-2</v>
      </c>
      <c r="F667">
        <f t="shared" si="21"/>
        <v>0</v>
      </c>
    </row>
    <row r="668" spans="1:6" x14ac:dyDescent="0.35">
      <c r="A668" s="2">
        <f>'VaR Model'!C668</f>
        <v>45546</v>
      </c>
      <c r="B668" s="48">
        <f>'VaR Model'!D668</f>
        <v>-2.732300366389774E-3</v>
      </c>
      <c r="C668" s="47">
        <f>'VaR Model'!$G$16</f>
        <v>-2.1486122599356419E-2</v>
      </c>
      <c r="D668">
        <f t="shared" si="20"/>
        <v>0</v>
      </c>
      <c r="E668" s="53">
        <f>'VaR Model'!$G$21</f>
        <v>-1.5036332051297405E-2</v>
      </c>
      <c r="F668">
        <f t="shared" si="21"/>
        <v>0</v>
      </c>
    </row>
    <row r="669" spans="1:6" x14ac:dyDescent="0.35">
      <c r="A669" s="2">
        <f>'VaR Model'!C669</f>
        <v>45547</v>
      </c>
      <c r="B669" s="48">
        <f>'VaR Model'!D669</f>
        <v>1.4274061946715391E-2</v>
      </c>
      <c r="C669" s="47">
        <f>'VaR Model'!$G$16</f>
        <v>-2.1486122599356419E-2</v>
      </c>
      <c r="D669">
        <f t="shared" si="20"/>
        <v>0</v>
      </c>
      <c r="E669" s="53">
        <f>'VaR Model'!$G$21</f>
        <v>-1.5036332051297405E-2</v>
      </c>
      <c r="F669">
        <f t="shared" si="21"/>
        <v>0</v>
      </c>
    </row>
    <row r="670" spans="1:6" x14ac:dyDescent="0.35">
      <c r="A670" s="2">
        <f>'VaR Model'!C670</f>
        <v>45548</v>
      </c>
      <c r="B670" s="48">
        <f>'VaR Model'!D670</f>
        <v>-3.8795583609883368E-3</v>
      </c>
      <c r="C670" s="47">
        <f>'VaR Model'!$G$16</f>
        <v>-2.1486122599356419E-2</v>
      </c>
      <c r="D670">
        <f t="shared" si="20"/>
        <v>0</v>
      </c>
      <c r="E670" s="53">
        <f>'VaR Model'!$G$21</f>
        <v>-1.5036332051297405E-2</v>
      </c>
      <c r="F670">
        <f t="shared" si="21"/>
        <v>0</v>
      </c>
    </row>
    <row r="671" spans="1:6" x14ac:dyDescent="0.35">
      <c r="A671" s="2">
        <f>'VaR Model'!C671</f>
        <v>45551</v>
      </c>
      <c r="B671" s="48">
        <f>'VaR Model'!D671</f>
        <v>9.6078784047258308E-4</v>
      </c>
      <c r="C671" s="47">
        <f>'VaR Model'!$G$16</f>
        <v>-2.1486122599356419E-2</v>
      </c>
      <c r="D671">
        <f t="shared" si="20"/>
        <v>0</v>
      </c>
      <c r="E671" s="53">
        <f>'VaR Model'!$G$21</f>
        <v>-1.5036332051297405E-2</v>
      </c>
      <c r="F671">
        <f t="shared" si="21"/>
        <v>0</v>
      </c>
    </row>
    <row r="672" spans="1:6" x14ac:dyDescent="0.35">
      <c r="A672" s="2">
        <f>'VaR Model'!C672</f>
        <v>45552</v>
      </c>
      <c r="B672" s="48">
        <f>'VaR Model'!D672</f>
        <v>-4.5808333530006492E-4</v>
      </c>
      <c r="C672" s="47">
        <f>'VaR Model'!$G$16</f>
        <v>-2.1486122599356419E-2</v>
      </c>
      <c r="D672">
        <f t="shared" si="20"/>
        <v>0</v>
      </c>
      <c r="E672" s="53">
        <f>'VaR Model'!$G$21</f>
        <v>-1.5036332051297405E-2</v>
      </c>
      <c r="F672">
        <f t="shared" si="21"/>
        <v>0</v>
      </c>
    </row>
    <row r="673" spans="1:6" x14ac:dyDescent="0.35">
      <c r="A673" s="2">
        <f>'VaR Model'!C673</f>
        <v>45553</v>
      </c>
      <c r="B673" s="48">
        <f>'VaR Model'!D673</f>
        <v>-1.1688435944100663E-2</v>
      </c>
      <c r="C673" s="47">
        <f>'VaR Model'!$G$16</f>
        <v>-2.1486122599356419E-2</v>
      </c>
      <c r="D673">
        <f t="shared" si="20"/>
        <v>0</v>
      </c>
      <c r="E673" s="53">
        <f>'VaR Model'!$G$21</f>
        <v>-1.5036332051297405E-2</v>
      </c>
      <c r="F673">
        <f t="shared" si="21"/>
        <v>0</v>
      </c>
    </row>
    <row r="674" spans="1:6" x14ac:dyDescent="0.35">
      <c r="A674" s="2">
        <f>'VaR Model'!C674</f>
        <v>45554</v>
      </c>
      <c r="B674" s="48">
        <f>'VaR Model'!D674</f>
        <v>-3.2835352641091326E-4</v>
      </c>
      <c r="C674" s="47">
        <f>'VaR Model'!$G$16</f>
        <v>-2.1486122599356419E-2</v>
      </c>
      <c r="D674">
        <f t="shared" si="20"/>
        <v>0</v>
      </c>
      <c r="E674" s="53">
        <f>'VaR Model'!$G$21</f>
        <v>-1.5036332051297405E-2</v>
      </c>
      <c r="F674">
        <f t="shared" si="21"/>
        <v>0</v>
      </c>
    </row>
    <row r="675" spans="1:6" x14ac:dyDescent="0.35">
      <c r="A675" s="2">
        <f>'VaR Model'!C675</f>
        <v>45555</v>
      </c>
      <c r="B675" s="48">
        <f>'VaR Model'!D675</f>
        <v>1.2361171680570753E-2</v>
      </c>
      <c r="C675" s="47">
        <f>'VaR Model'!$G$16</f>
        <v>-2.1486122599356419E-2</v>
      </c>
      <c r="D675">
        <f t="shared" si="20"/>
        <v>0</v>
      </c>
      <c r="E675" s="53">
        <f>'VaR Model'!$G$21</f>
        <v>-1.5036332051297405E-2</v>
      </c>
      <c r="F675">
        <f t="shared" si="21"/>
        <v>0</v>
      </c>
    </row>
    <row r="676" spans="1:6" x14ac:dyDescent="0.35">
      <c r="A676" s="2">
        <f>'VaR Model'!C676</f>
        <v>45558</v>
      </c>
      <c r="B676" s="48">
        <f>'VaR Model'!D676</f>
        <v>-2.2454821114173875E-3</v>
      </c>
      <c r="C676" s="47">
        <f>'VaR Model'!$G$16</f>
        <v>-2.1486122599356419E-2</v>
      </c>
      <c r="D676">
        <f t="shared" si="20"/>
        <v>0</v>
      </c>
      <c r="E676" s="53">
        <f>'VaR Model'!$G$21</f>
        <v>-1.5036332051297405E-2</v>
      </c>
      <c r="F676">
        <f t="shared" si="21"/>
        <v>0</v>
      </c>
    </row>
    <row r="677" spans="1:6" x14ac:dyDescent="0.35">
      <c r="A677" s="2">
        <f>'VaR Model'!C677</f>
        <v>45559</v>
      </c>
      <c r="B677" s="48">
        <f>'VaR Model'!D677</f>
        <v>-1.3380792854779579E-3</v>
      </c>
      <c r="C677" s="47">
        <f>'VaR Model'!$G$16</f>
        <v>-2.1486122599356419E-2</v>
      </c>
      <c r="D677">
        <f t="shared" si="20"/>
        <v>0</v>
      </c>
      <c r="E677" s="53">
        <f>'VaR Model'!$G$21</f>
        <v>-1.5036332051297405E-2</v>
      </c>
      <c r="F677">
        <f t="shared" si="21"/>
        <v>0</v>
      </c>
    </row>
    <row r="678" spans="1:6" x14ac:dyDescent="0.35">
      <c r="A678" s="2">
        <f>'VaR Model'!C678</f>
        <v>45560</v>
      </c>
      <c r="B678" s="48">
        <f>'VaR Model'!D678</f>
        <v>2.1135008475322704E-3</v>
      </c>
      <c r="C678" s="47">
        <f>'VaR Model'!$G$16</f>
        <v>-2.1486122599356419E-2</v>
      </c>
      <c r="D678">
        <f t="shared" si="20"/>
        <v>0</v>
      </c>
      <c r="E678" s="53">
        <f>'VaR Model'!$G$21</f>
        <v>-1.5036332051297405E-2</v>
      </c>
      <c r="F678">
        <f t="shared" si="21"/>
        <v>0</v>
      </c>
    </row>
    <row r="679" spans="1:6" x14ac:dyDescent="0.35">
      <c r="A679" s="2">
        <f>'VaR Model'!C679</f>
        <v>45561</v>
      </c>
      <c r="B679" s="48">
        <f>'VaR Model'!D679</f>
        <v>4.6689606993820902E-3</v>
      </c>
      <c r="C679" s="47">
        <f>'VaR Model'!$G$16</f>
        <v>-2.1486122599356419E-2</v>
      </c>
      <c r="D679">
        <f t="shared" si="20"/>
        <v>0</v>
      </c>
      <c r="E679" s="53">
        <f>'VaR Model'!$G$21</f>
        <v>-1.5036332051297405E-2</v>
      </c>
      <c r="F679">
        <f t="shared" si="21"/>
        <v>0</v>
      </c>
    </row>
    <row r="680" spans="1:6" x14ac:dyDescent="0.35">
      <c r="A680" s="2">
        <f>'VaR Model'!C680</f>
        <v>45562</v>
      </c>
      <c r="B680" s="48">
        <f>'VaR Model'!D680</f>
        <v>1.7429783714802633E-3</v>
      </c>
      <c r="C680" s="47">
        <f>'VaR Model'!$G$16</f>
        <v>-2.1486122599356419E-2</v>
      </c>
      <c r="D680">
        <f t="shared" si="20"/>
        <v>0</v>
      </c>
      <c r="E680" s="53">
        <f>'VaR Model'!$G$21</f>
        <v>-1.5036332051297405E-2</v>
      </c>
      <c r="F680">
        <f t="shared" si="21"/>
        <v>0</v>
      </c>
    </row>
    <row r="681" spans="1:6" x14ac:dyDescent="0.35">
      <c r="A681" s="2">
        <f>'VaR Model'!C681</f>
        <v>45565</v>
      </c>
      <c r="B681" s="48">
        <f>'VaR Model'!D681</f>
        <v>-1.8735496062762813E-2</v>
      </c>
      <c r="C681" s="47">
        <f>'VaR Model'!$G$16</f>
        <v>-2.1486122599356419E-2</v>
      </c>
      <c r="D681">
        <f t="shared" si="20"/>
        <v>0</v>
      </c>
      <c r="E681" s="53">
        <f>'VaR Model'!$G$21</f>
        <v>-1.5036332051297405E-2</v>
      </c>
      <c r="F681">
        <f t="shared" si="21"/>
        <v>1</v>
      </c>
    </row>
    <row r="682" spans="1:6" x14ac:dyDescent="0.35">
      <c r="A682" s="2">
        <f>'VaR Model'!C682</f>
        <v>45566</v>
      </c>
      <c r="B682" s="48">
        <f>'VaR Model'!D682</f>
        <v>1.8150387420108002E-3</v>
      </c>
      <c r="C682" s="47">
        <f>'VaR Model'!$G$16</f>
        <v>-2.1486122599356419E-2</v>
      </c>
      <c r="D682">
        <f t="shared" si="20"/>
        <v>0</v>
      </c>
      <c r="E682" s="53">
        <f>'VaR Model'!$G$21</f>
        <v>-1.5036332051297405E-2</v>
      </c>
      <c r="F682">
        <f t="shared" si="21"/>
        <v>0</v>
      </c>
    </row>
    <row r="683" spans="1:6" x14ac:dyDescent="0.35">
      <c r="A683" s="2">
        <f>'VaR Model'!C683</f>
        <v>45568</v>
      </c>
      <c r="B683" s="48">
        <f>'VaR Model'!D683</f>
        <v>-1.5993737463578399E-2</v>
      </c>
      <c r="C683" s="47">
        <f>'VaR Model'!$G$16</f>
        <v>-2.1486122599356419E-2</v>
      </c>
      <c r="D683">
        <f t="shared" si="20"/>
        <v>0</v>
      </c>
      <c r="E683" s="53">
        <f>'VaR Model'!$G$21</f>
        <v>-1.5036332051297405E-2</v>
      </c>
      <c r="F683">
        <f t="shared" si="21"/>
        <v>1</v>
      </c>
    </row>
    <row r="684" spans="1:6" x14ac:dyDescent="0.35">
      <c r="A684" s="2">
        <f>'VaR Model'!C684</f>
        <v>45569</v>
      </c>
      <c r="B684" s="48">
        <f>'VaR Model'!D684</f>
        <v>-5.6942275852589971E-3</v>
      </c>
      <c r="C684" s="47">
        <f>'VaR Model'!$G$16</f>
        <v>-2.1486122599356419E-2</v>
      </c>
      <c r="D684">
        <f t="shared" si="20"/>
        <v>0</v>
      </c>
      <c r="E684" s="53">
        <f>'VaR Model'!$G$21</f>
        <v>-1.5036332051297405E-2</v>
      </c>
      <c r="F684">
        <f t="shared" si="21"/>
        <v>0</v>
      </c>
    </row>
    <row r="685" spans="1:6" x14ac:dyDescent="0.35">
      <c r="A685" s="2">
        <f>'VaR Model'!C685</f>
        <v>45572</v>
      </c>
      <c r="B685" s="48">
        <f>'VaR Model'!D685</f>
        <v>2.0315574379650026E-3</v>
      </c>
      <c r="C685" s="47">
        <f>'VaR Model'!$G$16</f>
        <v>-2.1486122599356419E-2</v>
      </c>
      <c r="D685">
        <f t="shared" si="20"/>
        <v>0</v>
      </c>
      <c r="E685" s="53">
        <f>'VaR Model'!$G$21</f>
        <v>-1.5036332051297405E-2</v>
      </c>
      <c r="F685">
        <f t="shared" si="21"/>
        <v>0</v>
      </c>
    </row>
    <row r="686" spans="1:6" x14ac:dyDescent="0.35">
      <c r="A686" s="2">
        <f>'VaR Model'!C686</f>
        <v>45573</v>
      </c>
      <c r="B686" s="48">
        <f>'VaR Model'!D686</f>
        <v>3.949353225424705E-3</v>
      </c>
      <c r="C686" s="47">
        <f>'VaR Model'!$G$16</f>
        <v>-2.1486122599356419E-2</v>
      </c>
      <c r="D686">
        <f t="shared" si="20"/>
        <v>0</v>
      </c>
      <c r="E686" s="53">
        <f>'VaR Model'!$G$21</f>
        <v>-1.5036332051297405E-2</v>
      </c>
      <c r="F686">
        <f t="shared" si="21"/>
        <v>0</v>
      </c>
    </row>
    <row r="687" spans="1:6" x14ac:dyDescent="0.35">
      <c r="A687" s="2">
        <f>'VaR Model'!C687</f>
        <v>45574</v>
      </c>
      <c r="B687" s="48">
        <f>'VaR Model'!D687</f>
        <v>-8.1550106180899133E-3</v>
      </c>
      <c r="C687" s="47">
        <f>'VaR Model'!$G$16</f>
        <v>-2.1486122599356419E-2</v>
      </c>
      <c r="D687">
        <f t="shared" si="20"/>
        <v>0</v>
      </c>
      <c r="E687" s="53">
        <f>'VaR Model'!$G$21</f>
        <v>-1.5036332051297405E-2</v>
      </c>
      <c r="F687">
        <f t="shared" si="21"/>
        <v>0</v>
      </c>
    </row>
    <row r="688" spans="1:6" x14ac:dyDescent="0.35">
      <c r="A688" s="2">
        <f>'VaR Model'!C688</f>
        <v>45575</v>
      </c>
      <c r="B688" s="48">
        <f>'VaR Model'!D688</f>
        <v>-5.1675886078808792E-3</v>
      </c>
      <c r="C688" s="47">
        <f>'VaR Model'!$G$16</f>
        <v>-2.1486122599356419E-2</v>
      </c>
      <c r="D688">
        <f t="shared" si="20"/>
        <v>0</v>
      </c>
      <c r="E688" s="53">
        <f>'VaR Model'!$G$21</f>
        <v>-1.5036332051297405E-2</v>
      </c>
      <c r="F688">
        <f t="shared" si="21"/>
        <v>0</v>
      </c>
    </row>
    <row r="689" spans="1:6" x14ac:dyDescent="0.35">
      <c r="A689" s="2">
        <f>'VaR Model'!C689</f>
        <v>45576</v>
      </c>
      <c r="B689" s="48">
        <f>'VaR Model'!D689</f>
        <v>-6.809300459765617E-3</v>
      </c>
      <c r="C689" s="47">
        <f>'VaR Model'!$G$16</f>
        <v>-2.1486122599356419E-2</v>
      </c>
      <c r="D689">
        <f t="shared" si="20"/>
        <v>0</v>
      </c>
      <c r="E689" s="53">
        <f>'VaR Model'!$G$21</f>
        <v>-1.5036332051297405E-2</v>
      </c>
      <c r="F689">
        <f t="shared" si="21"/>
        <v>0</v>
      </c>
    </row>
    <row r="690" spans="1:6" x14ac:dyDescent="0.35">
      <c r="A690" s="2">
        <f>'VaR Model'!C690</f>
        <v>45579</v>
      </c>
      <c r="B690" s="48">
        <f>'VaR Model'!D690</f>
        <v>6.8813397640381793E-3</v>
      </c>
      <c r="C690" s="47">
        <f>'VaR Model'!$G$16</f>
        <v>-2.1486122599356419E-2</v>
      </c>
      <c r="D690">
        <f t="shared" si="20"/>
        <v>0</v>
      </c>
      <c r="E690" s="53">
        <f>'VaR Model'!$G$21</f>
        <v>-1.5036332051297405E-2</v>
      </c>
      <c r="F690">
        <f t="shared" si="21"/>
        <v>0</v>
      </c>
    </row>
    <row r="691" spans="1:6" x14ac:dyDescent="0.35">
      <c r="A691" s="2">
        <f>'VaR Model'!C691</f>
        <v>45580</v>
      </c>
      <c r="B691" s="48">
        <f>'VaR Model'!D691</f>
        <v>-6.5263075741706675E-4</v>
      </c>
      <c r="C691" s="47">
        <f>'VaR Model'!$G$16</f>
        <v>-2.1486122599356419E-2</v>
      </c>
      <c r="D691">
        <f t="shared" si="20"/>
        <v>0</v>
      </c>
      <c r="E691" s="53">
        <f>'VaR Model'!$G$21</f>
        <v>-1.5036332051297405E-2</v>
      </c>
      <c r="F691">
        <f t="shared" si="21"/>
        <v>0</v>
      </c>
    </row>
    <row r="692" spans="1:6" x14ac:dyDescent="0.35">
      <c r="A692" s="2">
        <f>'VaR Model'!C692</f>
        <v>45581</v>
      </c>
      <c r="B692" s="48">
        <f>'VaR Model'!D692</f>
        <v>-7.756536806331411E-3</v>
      </c>
      <c r="C692" s="47">
        <f>'VaR Model'!$G$16</f>
        <v>-2.1486122599356419E-2</v>
      </c>
      <c r="D692">
        <f t="shared" si="20"/>
        <v>0</v>
      </c>
      <c r="E692" s="53">
        <f>'VaR Model'!$G$21</f>
        <v>-1.5036332051297405E-2</v>
      </c>
      <c r="F692">
        <f t="shared" si="21"/>
        <v>0</v>
      </c>
    </row>
    <row r="693" spans="1:6" x14ac:dyDescent="0.35">
      <c r="A693" s="2">
        <f>'VaR Model'!C693</f>
        <v>45582</v>
      </c>
      <c r="B693" s="48">
        <f>'VaR Model'!D693</f>
        <v>2.2998899549320885E-3</v>
      </c>
      <c r="C693" s="47">
        <f>'VaR Model'!$G$16</f>
        <v>-2.1486122599356419E-2</v>
      </c>
      <c r="D693">
        <f t="shared" si="20"/>
        <v>0</v>
      </c>
      <c r="E693" s="53">
        <f>'VaR Model'!$G$21</f>
        <v>-1.5036332051297405E-2</v>
      </c>
      <c r="F693">
        <f t="shared" si="21"/>
        <v>0</v>
      </c>
    </row>
    <row r="694" spans="1:6" x14ac:dyDescent="0.35">
      <c r="A694" s="2">
        <f>'VaR Model'!C694</f>
        <v>45583</v>
      </c>
      <c r="B694" s="48">
        <f>'VaR Model'!D694</f>
        <v>-3.6729413239878846E-3</v>
      </c>
      <c r="C694" s="47">
        <f>'VaR Model'!$G$16</f>
        <v>-2.1486122599356419E-2</v>
      </c>
      <c r="D694">
        <f t="shared" si="20"/>
        <v>0</v>
      </c>
      <c r="E694" s="53">
        <f>'VaR Model'!$G$21</f>
        <v>-1.5036332051297405E-2</v>
      </c>
      <c r="F694">
        <f t="shared" si="21"/>
        <v>0</v>
      </c>
    </row>
    <row r="695" spans="1:6" x14ac:dyDescent="0.35">
      <c r="A695" s="2">
        <f>'VaR Model'!C695</f>
        <v>45586</v>
      </c>
      <c r="B695" s="48">
        <f>'VaR Model'!D695</f>
        <v>-5.6516560779519484E-3</v>
      </c>
      <c r="C695" s="47">
        <f>'VaR Model'!$G$16</f>
        <v>-2.1486122599356419E-2</v>
      </c>
      <c r="D695">
        <f t="shared" si="20"/>
        <v>0</v>
      </c>
      <c r="E695" s="53">
        <f>'VaR Model'!$G$21</f>
        <v>-1.5036332051297405E-2</v>
      </c>
      <c r="F695">
        <f t="shared" si="21"/>
        <v>0</v>
      </c>
    </row>
    <row r="696" spans="1:6" x14ac:dyDescent="0.35">
      <c r="A696" s="2">
        <f>'VaR Model'!C696</f>
        <v>45587</v>
      </c>
      <c r="B696" s="48">
        <f>'VaR Model'!D696</f>
        <v>-6.544504577572898E-3</v>
      </c>
      <c r="C696" s="47">
        <f>'VaR Model'!$G$16</f>
        <v>-2.1486122599356419E-2</v>
      </c>
      <c r="D696">
        <f t="shared" si="20"/>
        <v>0</v>
      </c>
      <c r="E696" s="53">
        <f>'VaR Model'!$G$21</f>
        <v>-1.5036332051297405E-2</v>
      </c>
      <c r="F696">
        <f t="shared" si="21"/>
        <v>0</v>
      </c>
    </row>
    <row r="697" spans="1:6" x14ac:dyDescent="0.35">
      <c r="A697" s="2">
        <f>'VaR Model'!C697</f>
        <v>45588</v>
      </c>
      <c r="B697" s="48">
        <f>'VaR Model'!D697</f>
        <v>1.00712804403201E-3</v>
      </c>
      <c r="C697" s="47">
        <f>'VaR Model'!$G$16</f>
        <v>-2.1486122599356419E-2</v>
      </c>
      <c r="D697">
        <f t="shared" si="20"/>
        <v>0</v>
      </c>
      <c r="E697" s="53">
        <f>'VaR Model'!$G$21</f>
        <v>-1.5036332051297405E-2</v>
      </c>
      <c r="F697">
        <f t="shared" si="21"/>
        <v>0</v>
      </c>
    </row>
    <row r="698" spans="1:6" x14ac:dyDescent="0.35">
      <c r="A698" s="2">
        <f>'VaR Model'!C698</f>
        <v>45589</v>
      </c>
      <c r="B698" s="48">
        <f>'VaR Model'!D698</f>
        <v>-5.2445203144841947E-3</v>
      </c>
      <c r="C698" s="47">
        <f>'VaR Model'!$G$16</f>
        <v>-2.1486122599356419E-2</v>
      </c>
      <c r="D698">
        <f t="shared" si="20"/>
        <v>0</v>
      </c>
      <c r="E698" s="53">
        <f>'VaR Model'!$G$21</f>
        <v>-1.5036332051297405E-2</v>
      </c>
      <c r="F698">
        <f t="shared" si="21"/>
        <v>0</v>
      </c>
    </row>
    <row r="699" spans="1:6" x14ac:dyDescent="0.35">
      <c r="A699" s="2">
        <f>'VaR Model'!C699</f>
        <v>45590</v>
      </c>
      <c r="B699" s="48">
        <f>'VaR Model'!D699</f>
        <v>3.4210389353032796E-3</v>
      </c>
      <c r="C699" s="47">
        <f>'VaR Model'!$G$16</f>
        <v>-2.1486122599356419E-2</v>
      </c>
      <c r="D699">
        <f t="shared" si="20"/>
        <v>0</v>
      </c>
      <c r="E699" s="53">
        <f>'VaR Model'!$G$21</f>
        <v>-1.5036332051297405E-2</v>
      </c>
      <c r="F699">
        <f t="shared" si="21"/>
        <v>0</v>
      </c>
    </row>
    <row r="700" spans="1:6" x14ac:dyDescent="0.35">
      <c r="A700" s="2">
        <f>'VaR Model'!C700</f>
        <v>45593</v>
      </c>
      <c r="B700" s="48">
        <f>'VaR Model'!D700</f>
        <v>9.6020990341220084E-3</v>
      </c>
      <c r="C700" s="47">
        <f>'VaR Model'!$G$16</f>
        <v>-2.1486122599356419E-2</v>
      </c>
      <c r="D700">
        <f t="shared" si="20"/>
        <v>0</v>
      </c>
      <c r="E700" s="53">
        <f>'VaR Model'!$G$21</f>
        <v>-1.5036332051297405E-2</v>
      </c>
      <c r="F700">
        <f t="shared" si="21"/>
        <v>0</v>
      </c>
    </row>
    <row r="701" spans="1:6" x14ac:dyDescent="0.35">
      <c r="A701" s="2">
        <f>'VaR Model'!C701</f>
        <v>45594</v>
      </c>
      <c r="B701" s="48">
        <f>'VaR Model'!D701</f>
        <v>4.7780491477570275E-3</v>
      </c>
      <c r="C701" s="47">
        <f>'VaR Model'!$G$16</f>
        <v>-2.1486122599356419E-2</v>
      </c>
      <c r="D701">
        <f t="shared" si="20"/>
        <v>0</v>
      </c>
      <c r="E701" s="53">
        <f>'VaR Model'!$G$21</f>
        <v>-1.5036332051297405E-2</v>
      </c>
      <c r="F701">
        <f t="shared" si="21"/>
        <v>0</v>
      </c>
    </row>
    <row r="702" spans="1:6" x14ac:dyDescent="0.35">
      <c r="A702" s="2">
        <f>'VaR Model'!C702</f>
        <v>45595</v>
      </c>
      <c r="B702" s="48">
        <f>'VaR Model'!D702</f>
        <v>-4.5571298792306154E-3</v>
      </c>
      <c r="C702" s="47">
        <f>'VaR Model'!$G$16</f>
        <v>-2.1486122599356419E-2</v>
      </c>
      <c r="D702">
        <f t="shared" si="20"/>
        <v>0</v>
      </c>
      <c r="E702" s="53">
        <f>'VaR Model'!$G$21</f>
        <v>-1.5036332051297405E-2</v>
      </c>
      <c r="F702">
        <f t="shared" si="21"/>
        <v>0</v>
      </c>
    </row>
    <row r="703" spans="1:6" x14ac:dyDescent="0.35">
      <c r="A703" s="2">
        <f>'VaR Model'!C703</f>
        <v>45596</v>
      </c>
      <c r="B703" s="48">
        <f>'VaR Model'!D703</f>
        <v>-1.6761768127133179E-2</v>
      </c>
      <c r="C703" s="47">
        <f>'VaR Model'!$G$16</f>
        <v>-2.1486122599356419E-2</v>
      </c>
      <c r="D703">
        <f t="shared" si="20"/>
        <v>0</v>
      </c>
      <c r="E703" s="53">
        <f>'VaR Model'!$G$21</f>
        <v>-1.5036332051297405E-2</v>
      </c>
      <c r="F703">
        <f t="shared" si="21"/>
        <v>1</v>
      </c>
    </row>
    <row r="704" spans="1:6" x14ac:dyDescent="0.35">
      <c r="A704" s="2">
        <f>'VaR Model'!C704</f>
        <v>45597</v>
      </c>
      <c r="B704" s="48">
        <f>'VaR Model'!D704</f>
        <v>2.7335830655852412E-3</v>
      </c>
      <c r="C704" s="47">
        <f>'VaR Model'!$G$16</f>
        <v>-2.1486122599356419E-2</v>
      </c>
      <c r="D704">
        <f t="shared" si="20"/>
        <v>0</v>
      </c>
      <c r="E704" s="53">
        <f>'VaR Model'!$G$21</f>
        <v>-1.5036332051297405E-2</v>
      </c>
      <c r="F704">
        <f t="shared" si="21"/>
        <v>0</v>
      </c>
    </row>
    <row r="705" spans="1:6" x14ac:dyDescent="0.35">
      <c r="A705" s="2">
        <f>'VaR Model'!C705</f>
        <v>45600</v>
      </c>
      <c r="B705" s="48">
        <f>'VaR Model'!D705</f>
        <v>-1.0831240118411297E-2</v>
      </c>
      <c r="C705" s="47">
        <f>'VaR Model'!$G$16</f>
        <v>-2.1486122599356419E-2</v>
      </c>
      <c r="D705">
        <f t="shared" si="20"/>
        <v>0</v>
      </c>
      <c r="E705" s="53">
        <f>'VaR Model'!$G$21</f>
        <v>-1.5036332051297405E-2</v>
      </c>
      <c r="F705">
        <f t="shared" si="21"/>
        <v>0</v>
      </c>
    </row>
    <row r="706" spans="1:6" x14ac:dyDescent="0.35">
      <c r="A706" s="2">
        <f>'VaR Model'!C706</f>
        <v>45601</v>
      </c>
      <c r="B706" s="48">
        <f>'VaR Model'!D706</f>
        <v>9.745760383117019E-4</v>
      </c>
      <c r="C706" s="47">
        <f>'VaR Model'!$G$16</f>
        <v>-2.1486122599356419E-2</v>
      </c>
      <c r="D706">
        <f t="shared" si="20"/>
        <v>0</v>
      </c>
      <c r="E706" s="53">
        <f>'VaR Model'!$G$21</f>
        <v>-1.5036332051297405E-2</v>
      </c>
      <c r="F706">
        <f t="shared" si="21"/>
        <v>0</v>
      </c>
    </row>
    <row r="707" spans="1:6" x14ac:dyDescent="0.35">
      <c r="A707" s="2">
        <f>'VaR Model'!C707</f>
        <v>45602</v>
      </c>
      <c r="B707" s="48">
        <f>'VaR Model'!D707</f>
        <v>2.0368486143208974E-2</v>
      </c>
      <c r="C707" s="47">
        <f>'VaR Model'!$G$16</f>
        <v>-2.1486122599356419E-2</v>
      </c>
      <c r="D707">
        <f t="shared" ref="D707:D743" si="22">IF(B707&lt;C707,1,0)</f>
        <v>0</v>
      </c>
      <c r="E707" s="53">
        <f>'VaR Model'!$G$21</f>
        <v>-1.5036332051297405E-2</v>
      </c>
      <c r="F707">
        <f t="shared" ref="F707:F743" si="23">IF(B707&lt;E707,1,0)</f>
        <v>0</v>
      </c>
    </row>
    <row r="708" spans="1:6" x14ac:dyDescent="0.35">
      <c r="A708" s="2">
        <f>'VaR Model'!C708</f>
        <v>45603</v>
      </c>
      <c r="B708" s="48">
        <f>'VaR Model'!D708</f>
        <v>-9.7310909282311356E-3</v>
      </c>
      <c r="C708" s="47">
        <f>'VaR Model'!$G$16</f>
        <v>-2.1486122599356419E-2</v>
      </c>
      <c r="D708">
        <f t="shared" si="22"/>
        <v>0</v>
      </c>
      <c r="E708" s="53">
        <f>'VaR Model'!$G$21</f>
        <v>-1.5036332051297405E-2</v>
      </c>
      <c r="F708">
        <f t="shared" si="23"/>
        <v>0</v>
      </c>
    </row>
    <row r="709" spans="1:6" x14ac:dyDescent="0.35">
      <c r="A709" s="2">
        <f>'VaR Model'!C709</f>
        <v>45604</v>
      </c>
      <c r="B709" s="48">
        <f>'VaR Model'!D709</f>
        <v>-3.6764520076817664E-3</v>
      </c>
      <c r="C709" s="47">
        <f>'VaR Model'!$G$16</f>
        <v>-2.1486122599356419E-2</v>
      </c>
      <c r="D709">
        <f t="shared" si="22"/>
        <v>0</v>
      </c>
      <c r="E709" s="53">
        <f>'VaR Model'!$G$21</f>
        <v>-1.5036332051297405E-2</v>
      </c>
      <c r="F709">
        <f t="shared" si="23"/>
        <v>0</v>
      </c>
    </row>
    <row r="710" spans="1:6" x14ac:dyDescent="0.35">
      <c r="A710" s="2">
        <f>'VaR Model'!C710</f>
        <v>45607</v>
      </c>
      <c r="B710" s="48">
        <f>'VaR Model'!D710</f>
        <v>5.2102346288803647E-3</v>
      </c>
      <c r="C710" s="47">
        <f>'VaR Model'!$G$16</f>
        <v>-2.1486122599356419E-2</v>
      </c>
      <c r="D710">
        <f t="shared" si="22"/>
        <v>0</v>
      </c>
      <c r="E710" s="53">
        <f>'VaR Model'!$G$21</f>
        <v>-1.5036332051297405E-2</v>
      </c>
      <c r="F710">
        <f t="shared" si="23"/>
        <v>0</v>
      </c>
    </row>
    <row r="711" spans="1:6" x14ac:dyDescent="0.35">
      <c r="A711" s="2">
        <f>'VaR Model'!C711</f>
        <v>45608</v>
      </c>
      <c r="B711" s="48">
        <f>'VaR Model'!D711</f>
        <v>-4.0781540372834975E-4</v>
      </c>
      <c r="C711" s="47">
        <f>'VaR Model'!$G$16</f>
        <v>-2.1486122599356419E-2</v>
      </c>
      <c r="D711">
        <f t="shared" si="22"/>
        <v>0</v>
      </c>
      <c r="E711" s="53">
        <f>'VaR Model'!$G$21</f>
        <v>-1.5036332051297405E-2</v>
      </c>
      <c r="F711">
        <f t="shared" si="23"/>
        <v>0</v>
      </c>
    </row>
    <row r="712" spans="1:6" x14ac:dyDescent="0.35">
      <c r="A712" s="2">
        <f>'VaR Model'!C712</f>
        <v>45609</v>
      </c>
      <c r="B712" s="48">
        <f>'VaR Model'!D712</f>
        <v>-8.7633805160975912E-3</v>
      </c>
      <c r="C712" s="47">
        <f>'VaR Model'!$G$16</f>
        <v>-2.1486122599356419E-2</v>
      </c>
      <c r="D712">
        <f t="shared" si="22"/>
        <v>0</v>
      </c>
      <c r="E712" s="53">
        <f>'VaR Model'!$G$21</f>
        <v>-1.5036332051297405E-2</v>
      </c>
      <c r="F712">
        <f t="shared" si="23"/>
        <v>0</v>
      </c>
    </row>
    <row r="713" spans="1:6" x14ac:dyDescent="0.35">
      <c r="A713" s="2">
        <f>'VaR Model'!C713</f>
        <v>45610</v>
      </c>
      <c r="B713" s="48">
        <f>'VaR Model'!D713</f>
        <v>-3.043459700795342E-4</v>
      </c>
      <c r="C713" s="47">
        <f>'VaR Model'!$G$16</f>
        <v>-2.1486122599356419E-2</v>
      </c>
      <c r="D713">
        <f t="shared" si="22"/>
        <v>0</v>
      </c>
      <c r="E713" s="53">
        <f>'VaR Model'!$G$21</f>
        <v>-1.5036332051297405E-2</v>
      </c>
      <c r="F713">
        <f t="shared" si="23"/>
        <v>0</v>
      </c>
    </row>
    <row r="714" spans="1:6" x14ac:dyDescent="0.35">
      <c r="A714" s="2">
        <f>'VaR Model'!C714</f>
        <v>45614</v>
      </c>
      <c r="B714" s="48">
        <f>'VaR Model'!D714</f>
        <v>-1.3358368536178854E-2</v>
      </c>
      <c r="C714" s="47">
        <f>'VaR Model'!$G$16</f>
        <v>-2.1486122599356419E-2</v>
      </c>
      <c r="D714">
        <f t="shared" si="22"/>
        <v>0</v>
      </c>
      <c r="E714" s="53">
        <f>'VaR Model'!$G$21</f>
        <v>-1.5036332051297405E-2</v>
      </c>
      <c r="F714">
        <f t="shared" si="23"/>
        <v>0</v>
      </c>
    </row>
    <row r="715" spans="1:6" x14ac:dyDescent="0.35">
      <c r="A715" s="2">
        <f>'VaR Model'!C715</f>
        <v>45615</v>
      </c>
      <c r="B715" s="48">
        <f>'VaR Model'!D715</f>
        <v>-9.4609702046072612E-4</v>
      </c>
      <c r="C715" s="47">
        <f>'VaR Model'!$G$16</f>
        <v>-2.1486122599356419E-2</v>
      </c>
      <c r="D715">
        <f t="shared" si="22"/>
        <v>0</v>
      </c>
      <c r="E715" s="53">
        <f>'VaR Model'!$G$21</f>
        <v>-1.5036332051297405E-2</v>
      </c>
      <c r="F715">
        <f t="shared" si="23"/>
        <v>0</v>
      </c>
    </row>
    <row r="716" spans="1:6" x14ac:dyDescent="0.35">
      <c r="A716" s="2">
        <f>'VaR Model'!C716</f>
        <v>45617</v>
      </c>
      <c r="B716" s="48">
        <f>'VaR Model'!D716</f>
        <v>-4.5498308483927948E-3</v>
      </c>
      <c r="C716" s="47">
        <f>'VaR Model'!$G$16</f>
        <v>-2.1486122599356419E-2</v>
      </c>
      <c r="D716">
        <f t="shared" si="22"/>
        <v>0</v>
      </c>
      <c r="E716" s="53">
        <f>'VaR Model'!$G$21</f>
        <v>-1.5036332051297405E-2</v>
      </c>
      <c r="F716">
        <f t="shared" si="23"/>
        <v>0</v>
      </c>
    </row>
    <row r="717" spans="1:6" x14ac:dyDescent="0.35">
      <c r="A717" s="2">
        <f>'VaR Model'!C717</f>
        <v>45618</v>
      </c>
      <c r="B717" s="48">
        <f>'VaR Model'!D717</f>
        <v>3.4240652440023459E-2</v>
      </c>
      <c r="C717" s="47">
        <f>'VaR Model'!$G$16</f>
        <v>-2.1486122599356419E-2</v>
      </c>
      <c r="D717">
        <f t="shared" si="22"/>
        <v>0</v>
      </c>
      <c r="E717" s="53">
        <f>'VaR Model'!$G$21</f>
        <v>-1.5036332051297405E-2</v>
      </c>
      <c r="F717">
        <f t="shared" si="23"/>
        <v>0</v>
      </c>
    </row>
    <row r="718" spans="1:6" x14ac:dyDescent="0.35">
      <c r="A718" s="2">
        <f>'VaR Model'!C718</f>
        <v>45621</v>
      </c>
      <c r="B718" s="48">
        <f>'VaR Model'!D718</f>
        <v>9.8142959409621717E-3</v>
      </c>
      <c r="C718" s="47">
        <f>'VaR Model'!$G$16</f>
        <v>-2.1486122599356419E-2</v>
      </c>
      <c r="D718">
        <f t="shared" si="22"/>
        <v>0</v>
      </c>
      <c r="E718" s="53">
        <f>'VaR Model'!$G$21</f>
        <v>-1.5036332051297405E-2</v>
      </c>
      <c r="F718">
        <f t="shared" si="23"/>
        <v>0</v>
      </c>
    </row>
    <row r="719" spans="1:6" x14ac:dyDescent="0.35">
      <c r="A719" s="2">
        <f>'VaR Model'!C719</f>
        <v>45622</v>
      </c>
      <c r="B719" s="48">
        <f>'VaR Model'!D719</f>
        <v>7.3940659648313155E-3</v>
      </c>
      <c r="C719" s="47">
        <f>'VaR Model'!$G$16</f>
        <v>-2.1486122599356419E-2</v>
      </c>
      <c r="D719">
        <f t="shared" si="22"/>
        <v>0</v>
      </c>
      <c r="E719" s="53">
        <f>'VaR Model'!$G$21</f>
        <v>-1.5036332051297405E-2</v>
      </c>
      <c r="F719">
        <f t="shared" si="23"/>
        <v>0</v>
      </c>
    </row>
    <row r="720" spans="1:6" x14ac:dyDescent="0.35">
      <c r="A720" s="2">
        <f>'VaR Model'!C720</f>
        <v>45623</v>
      </c>
      <c r="B720" s="48">
        <f>'VaR Model'!D720</f>
        <v>-1.9524908100291929E-3</v>
      </c>
      <c r="C720" s="47">
        <f>'VaR Model'!$G$16</f>
        <v>-2.1486122599356419E-2</v>
      </c>
      <c r="D720">
        <f t="shared" si="22"/>
        <v>0</v>
      </c>
      <c r="E720" s="53">
        <f>'VaR Model'!$G$21</f>
        <v>-1.5036332051297405E-2</v>
      </c>
      <c r="F720">
        <f t="shared" si="23"/>
        <v>0</v>
      </c>
    </row>
    <row r="721" spans="1:6" x14ac:dyDescent="0.35">
      <c r="A721" s="2">
        <f>'VaR Model'!C721</f>
        <v>45624</v>
      </c>
      <c r="B721" s="48">
        <f>'VaR Model'!D721</f>
        <v>-1.7841263099200758E-2</v>
      </c>
      <c r="C721" s="47">
        <f>'VaR Model'!$G$16</f>
        <v>-2.1486122599356419E-2</v>
      </c>
      <c r="D721">
        <f t="shared" si="22"/>
        <v>0</v>
      </c>
      <c r="E721" s="53">
        <f>'VaR Model'!$G$21</f>
        <v>-1.5036332051297405E-2</v>
      </c>
      <c r="F721">
        <f t="shared" si="23"/>
        <v>1</v>
      </c>
    </row>
    <row r="722" spans="1:6" x14ac:dyDescent="0.35">
      <c r="A722" s="2">
        <f>'VaR Model'!C722</f>
        <v>45625</v>
      </c>
      <c r="B722" s="48">
        <f>'VaR Model'!D722</f>
        <v>7.5920910300703616E-3</v>
      </c>
      <c r="C722" s="47">
        <f>'VaR Model'!$G$16</f>
        <v>-2.1486122599356419E-2</v>
      </c>
      <c r="D722">
        <f t="shared" si="22"/>
        <v>0</v>
      </c>
      <c r="E722" s="53">
        <f>'VaR Model'!$G$21</f>
        <v>-1.5036332051297405E-2</v>
      </c>
      <c r="F722">
        <f t="shared" si="23"/>
        <v>0</v>
      </c>
    </row>
    <row r="723" spans="1:6" x14ac:dyDescent="0.35">
      <c r="A723" s="2">
        <f>'VaR Model'!C723</f>
        <v>45628</v>
      </c>
      <c r="B723" s="48">
        <f>'VaR Model'!D723</f>
        <v>6.1162134330005969E-3</v>
      </c>
      <c r="C723" s="47">
        <f>'VaR Model'!$G$16</f>
        <v>-2.1486122599356419E-2</v>
      </c>
      <c r="D723">
        <f t="shared" si="22"/>
        <v>0</v>
      </c>
      <c r="E723" s="53">
        <f>'VaR Model'!$G$21</f>
        <v>-1.5036332051297405E-2</v>
      </c>
      <c r="F723">
        <f t="shared" si="23"/>
        <v>0</v>
      </c>
    </row>
    <row r="724" spans="1:6" x14ac:dyDescent="0.35">
      <c r="A724" s="2">
        <f>'VaR Model'!C724</f>
        <v>45629</v>
      </c>
      <c r="B724" s="48">
        <f>'VaR Model'!D724</f>
        <v>3.2865308295184736E-3</v>
      </c>
      <c r="C724" s="47">
        <f>'VaR Model'!$G$16</f>
        <v>-2.1486122599356419E-2</v>
      </c>
      <c r="D724">
        <f t="shared" si="22"/>
        <v>0</v>
      </c>
      <c r="E724" s="53">
        <f>'VaR Model'!$G$21</f>
        <v>-1.5036332051297405E-2</v>
      </c>
      <c r="F724">
        <f t="shared" si="23"/>
        <v>0</v>
      </c>
    </row>
    <row r="725" spans="1:6" x14ac:dyDescent="0.35">
      <c r="A725" s="2">
        <f>'VaR Model'!C725</f>
        <v>45630</v>
      </c>
      <c r="B725" s="48">
        <f>'VaR Model'!D725</f>
        <v>-1.251633161381021E-3</v>
      </c>
      <c r="C725" s="47">
        <f>'VaR Model'!$G$16</f>
        <v>-2.1486122599356419E-2</v>
      </c>
      <c r="D725">
        <f t="shared" si="22"/>
        <v>0</v>
      </c>
      <c r="E725" s="53">
        <f>'VaR Model'!$G$21</f>
        <v>-1.5036332051297405E-2</v>
      </c>
      <c r="F725">
        <f t="shared" si="23"/>
        <v>0</v>
      </c>
    </row>
    <row r="726" spans="1:6" x14ac:dyDescent="0.35">
      <c r="A726" s="2">
        <f>'VaR Model'!C726</f>
        <v>45631</v>
      </c>
      <c r="B726" s="48">
        <f>'VaR Model'!D726</f>
        <v>1.499135455780713E-2</v>
      </c>
      <c r="C726" s="47">
        <f>'VaR Model'!$G$16</f>
        <v>-2.1486122599356419E-2</v>
      </c>
      <c r="D726">
        <f t="shared" si="22"/>
        <v>0</v>
      </c>
      <c r="E726" s="53">
        <f>'VaR Model'!$G$21</f>
        <v>-1.5036332051297405E-2</v>
      </c>
      <c r="F726">
        <f t="shared" si="23"/>
        <v>0</v>
      </c>
    </row>
    <row r="727" spans="1:6" x14ac:dyDescent="0.35">
      <c r="A727" s="2">
        <f>'VaR Model'!C727</f>
        <v>45632</v>
      </c>
      <c r="B727" s="48">
        <f>'VaR Model'!D727</f>
        <v>-3.327685631879621E-3</v>
      </c>
      <c r="C727" s="47">
        <f>'VaR Model'!$G$16</f>
        <v>-2.1486122599356419E-2</v>
      </c>
      <c r="D727">
        <f t="shared" si="22"/>
        <v>0</v>
      </c>
      <c r="E727" s="53">
        <f>'VaR Model'!$G$21</f>
        <v>-1.5036332051297405E-2</v>
      </c>
      <c r="F727">
        <f t="shared" si="23"/>
        <v>0</v>
      </c>
    </row>
    <row r="728" spans="1:6" x14ac:dyDescent="0.35">
      <c r="A728" s="2">
        <f>'VaR Model'!C728</f>
        <v>45635</v>
      </c>
      <c r="B728" s="48">
        <f>'VaR Model'!D728</f>
        <v>-5.7078186946775836E-3</v>
      </c>
      <c r="C728" s="47">
        <f>'VaR Model'!$G$16</f>
        <v>-2.1486122599356419E-2</v>
      </c>
      <c r="D728">
        <f t="shared" si="22"/>
        <v>0</v>
      </c>
      <c r="E728" s="53">
        <f>'VaR Model'!$G$21</f>
        <v>-1.5036332051297405E-2</v>
      </c>
      <c r="F728">
        <f t="shared" si="23"/>
        <v>0</v>
      </c>
    </row>
    <row r="729" spans="1:6" x14ac:dyDescent="0.35">
      <c r="A729" s="2">
        <f>'VaR Model'!C729</f>
        <v>45636</v>
      </c>
      <c r="B729" s="48">
        <f>'VaR Model'!D729</f>
        <v>1.5354040446640283E-3</v>
      </c>
      <c r="C729" s="47">
        <f>'VaR Model'!$G$16</f>
        <v>-2.1486122599356419E-2</v>
      </c>
      <c r="D729">
        <f t="shared" si="22"/>
        <v>0</v>
      </c>
      <c r="E729" s="53">
        <f>'VaR Model'!$G$21</f>
        <v>-1.5036332051297405E-2</v>
      </c>
      <c r="F729">
        <f t="shared" si="23"/>
        <v>0</v>
      </c>
    </row>
    <row r="730" spans="1:6" x14ac:dyDescent="0.35">
      <c r="A730" s="2">
        <f>'VaR Model'!C730</f>
        <v>45637</v>
      </c>
      <c r="B730" s="48">
        <f>'VaR Model'!D730</f>
        <v>8.1213641330608508E-4</v>
      </c>
      <c r="C730" s="47">
        <f>'VaR Model'!$G$16</f>
        <v>-2.1486122599356419E-2</v>
      </c>
      <c r="D730">
        <f t="shared" si="22"/>
        <v>0</v>
      </c>
      <c r="E730" s="53">
        <f>'VaR Model'!$G$21</f>
        <v>-1.5036332051297405E-2</v>
      </c>
      <c r="F730">
        <f t="shared" si="23"/>
        <v>0</v>
      </c>
    </row>
    <row r="731" spans="1:6" x14ac:dyDescent="0.35">
      <c r="A731" s="2">
        <f>'VaR Model'!C731</f>
        <v>45638</v>
      </c>
      <c r="B731" s="48">
        <f>'VaR Model'!D731</f>
        <v>-1.6184100167006125E-3</v>
      </c>
      <c r="C731" s="47">
        <f>'VaR Model'!$G$16</f>
        <v>-2.1486122599356419E-2</v>
      </c>
      <c r="D731">
        <f t="shared" si="22"/>
        <v>0</v>
      </c>
      <c r="E731" s="53">
        <f>'VaR Model'!$G$21</f>
        <v>-1.5036332051297405E-2</v>
      </c>
      <c r="F731">
        <f t="shared" si="23"/>
        <v>0</v>
      </c>
    </row>
    <row r="732" spans="1:6" x14ac:dyDescent="0.35">
      <c r="A732" s="2">
        <f>'VaR Model'!C732</f>
        <v>45639</v>
      </c>
      <c r="B732" s="48">
        <f>'VaR Model'!D732</f>
        <v>1.0077634872086197E-2</v>
      </c>
      <c r="C732" s="47">
        <f>'VaR Model'!$G$16</f>
        <v>-2.1486122599356419E-2</v>
      </c>
      <c r="D732">
        <f t="shared" si="22"/>
        <v>0</v>
      </c>
      <c r="E732" s="53">
        <f>'VaR Model'!$G$21</f>
        <v>-1.5036332051297405E-2</v>
      </c>
      <c r="F732">
        <f t="shared" si="23"/>
        <v>0</v>
      </c>
    </row>
    <row r="733" spans="1:6" x14ac:dyDescent="0.35">
      <c r="A733" s="2">
        <f>'VaR Model'!C733</f>
        <v>45642</v>
      </c>
      <c r="B733" s="48">
        <f>'VaR Model'!D733</f>
        <v>-5.1138507053655113E-3</v>
      </c>
      <c r="C733" s="47">
        <f>'VaR Model'!$G$16</f>
        <v>-2.1486122599356419E-2</v>
      </c>
      <c r="D733">
        <f t="shared" si="22"/>
        <v>0</v>
      </c>
      <c r="E733" s="53">
        <f>'VaR Model'!$G$21</f>
        <v>-1.5036332051297405E-2</v>
      </c>
      <c r="F733">
        <f t="shared" si="23"/>
        <v>0</v>
      </c>
    </row>
    <row r="734" spans="1:6" x14ac:dyDescent="0.35">
      <c r="A734" s="2">
        <f>'VaR Model'!C734</f>
        <v>45643</v>
      </c>
      <c r="B734" s="48">
        <f>'VaR Model'!D734</f>
        <v>-1.0052777197525108E-2</v>
      </c>
      <c r="C734" s="47">
        <f>'VaR Model'!$G$16</f>
        <v>-2.1486122599356419E-2</v>
      </c>
      <c r="D734">
        <f t="shared" si="22"/>
        <v>0</v>
      </c>
      <c r="E734" s="53">
        <f>'VaR Model'!$G$21</f>
        <v>-1.5036332051297405E-2</v>
      </c>
      <c r="F734">
        <f t="shared" si="23"/>
        <v>0</v>
      </c>
    </row>
    <row r="735" spans="1:6" x14ac:dyDescent="0.35">
      <c r="A735" s="2">
        <f>'VaR Model'!C735</f>
        <v>45644</v>
      </c>
      <c r="B735" s="48">
        <f>'VaR Model'!D735</f>
        <v>-1.3340136854977046E-4</v>
      </c>
      <c r="C735" s="47">
        <f>'VaR Model'!$G$16</f>
        <v>-2.1486122599356419E-2</v>
      </c>
      <c r="D735">
        <f t="shared" si="22"/>
        <v>0</v>
      </c>
      <c r="E735" s="53">
        <f>'VaR Model'!$G$21</f>
        <v>-1.5036332051297405E-2</v>
      </c>
      <c r="F735">
        <f t="shared" si="23"/>
        <v>0</v>
      </c>
    </row>
    <row r="736" spans="1:6" x14ac:dyDescent="0.35">
      <c r="A736" s="2">
        <f>'VaR Model'!C736</f>
        <v>45645</v>
      </c>
      <c r="B736" s="48">
        <f>'VaR Model'!D736</f>
        <v>-1.6432730892730195E-2</v>
      </c>
      <c r="C736" s="47">
        <f>'VaR Model'!$G$16</f>
        <v>-2.1486122599356419E-2</v>
      </c>
      <c r="D736">
        <f t="shared" si="22"/>
        <v>0</v>
      </c>
      <c r="E736" s="53">
        <f>'VaR Model'!$G$21</f>
        <v>-1.5036332051297405E-2</v>
      </c>
      <c r="F736">
        <f t="shared" si="23"/>
        <v>1</v>
      </c>
    </row>
    <row r="737" spans="1:6" x14ac:dyDescent="0.35">
      <c r="A737" s="2">
        <f>'VaR Model'!C737</f>
        <v>45646</v>
      </c>
      <c r="B737" s="48">
        <f>'VaR Model'!D737</f>
        <v>-1.2011111372050099E-2</v>
      </c>
      <c r="C737" s="47">
        <f>'VaR Model'!$G$16</f>
        <v>-2.1486122599356419E-2</v>
      </c>
      <c r="D737">
        <f t="shared" si="22"/>
        <v>0</v>
      </c>
      <c r="E737" s="53">
        <f>'VaR Model'!$G$21</f>
        <v>-1.5036332051297405E-2</v>
      </c>
      <c r="F737">
        <f t="shared" si="23"/>
        <v>0</v>
      </c>
    </row>
    <row r="738" spans="1:6" x14ac:dyDescent="0.35">
      <c r="A738" s="2">
        <f>'VaR Model'!C738</f>
        <v>45649</v>
      </c>
      <c r="B738" s="48">
        <f>'VaR Model'!D738</f>
        <v>7.8373513656051566E-3</v>
      </c>
      <c r="C738" s="47">
        <f>'VaR Model'!$G$16</f>
        <v>-2.1486122599356419E-2</v>
      </c>
      <c r="D738">
        <f t="shared" si="22"/>
        <v>0</v>
      </c>
      <c r="E738" s="53">
        <f>'VaR Model'!$G$21</f>
        <v>-1.5036332051297405E-2</v>
      </c>
      <c r="F738">
        <f t="shared" si="23"/>
        <v>0</v>
      </c>
    </row>
    <row r="739" spans="1:6" x14ac:dyDescent="0.35">
      <c r="A739" s="2">
        <f>'VaR Model'!C739</f>
        <v>45650</v>
      </c>
      <c r="B739" s="48">
        <f>'VaR Model'!D739</f>
        <v>1.3307284405224616E-3</v>
      </c>
      <c r="C739" s="47">
        <f>'VaR Model'!$G$16</f>
        <v>-2.1486122599356419E-2</v>
      </c>
      <c r="D739">
        <f t="shared" si="22"/>
        <v>0</v>
      </c>
      <c r="E739" s="53">
        <f>'VaR Model'!$G$21</f>
        <v>-1.5036332051297405E-2</v>
      </c>
      <c r="F739">
        <f t="shared" si="23"/>
        <v>0</v>
      </c>
    </row>
    <row r="740" spans="1:6" x14ac:dyDescent="0.35">
      <c r="A740" s="2">
        <f>'VaR Model'!C740</f>
        <v>45652</v>
      </c>
      <c r="B740" s="48">
        <f>'VaR Model'!D740</f>
        <v>-2.3009378911331285E-3</v>
      </c>
      <c r="C740" s="47">
        <f>'VaR Model'!$G$16</f>
        <v>-2.1486122599356419E-2</v>
      </c>
      <c r="D740">
        <f t="shared" si="22"/>
        <v>0</v>
      </c>
      <c r="E740" s="53">
        <f>'VaR Model'!$G$21</f>
        <v>-1.5036332051297405E-2</v>
      </c>
      <c r="F740">
        <f t="shared" si="23"/>
        <v>0</v>
      </c>
    </row>
    <row r="741" spans="1:6" x14ac:dyDescent="0.35">
      <c r="A741" s="2">
        <f>'VaR Model'!C741</f>
        <v>45653</v>
      </c>
      <c r="B741" s="48">
        <f>'VaR Model'!D741</f>
        <v>3.7690278758324624E-3</v>
      </c>
      <c r="C741" s="47">
        <f>'VaR Model'!$G$16</f>
        <v>-2.1486122599356419E-2</v>
      </c>
      <c r="D741">
        <f t="shared" si="22"/>
        <v>0</v>
      </c>
      <c r="E741" s="53">
        <f>'VaR Model'!$G$21</f>
        <v>-1.5036332051297405E-2</v>
      </c>
      <c r="F741">
        <f t="shared" si="23"/>
        <v>0</v>
      </c>
    </row>
    <row r="742" spans="1:6" x14ac:dyDescent="0.35">
      <c r="A742" s="2">
        <f>'VaR Model'!C742</f>
        <v>45656</v>
      </c>
      <c r="B742" s="48">
        <f>'VaR Model'!D742</f>
        <v>-5.7691620352529459E-3</v>
      </c>
      <c r="C742" s="47">
        <f>'VaR Model'!$G$16</f>
        <v>-2.1486122599356419E-2</v>
      </c>
      <c r="D742">
        <f t="shared" si="22"/>
        <v>0</v>
      </c>
      <c r="E742" s="53">
        <f>'VaR Model'!$G$21</f>
        <v>-1.5036332051297405E-2</v>
      </c>
      <c r="F742">
        <f t="shared" si="23"/>
        <v>0</v>
      </c>
    </row>
    <row r="743" spans="1:6" x14ac:dyDescent="0.35">
      <c r="A743" s="2">
        <f>'VaR Model'!C743</f>
        <v>45657</v>
      </c>
      <c r="B743" s="48">
        <f>'VaR Model'!D743</f>
        <v>-4.3154649389038824E-3</v>
      </c>
      <c r="C743" s="47">
        <f>'VaR Model'!$G$16</f>
        <v>-2.1486122599356419E-2</v>
      </c>
      <c r="D743">
        <f t="shared" si="22"/>
        <v>0</v>
      </c>
      <c r="E743" s="53">
        <f>'VaR Model'!$G$21</f>
        <v>-1.5036332051297405E-2</v>
      </c>
      <c r="F743">
        <f t="shared" si="23"/>
        <v>0</v>
      </c>
    </row>
    <row r="744" spans="1:6" ht="15" thickBot="1" x14ac:dyDescent="0.4"/>
    <row r="745" spans="1:6" ht="15" thickBot="1" x14ac:dyDescent="0.4">
      <c r="C745" s="58" t="s">
        <v>24</v>
      </c>
      <c r="D745" s="33">
        <f>SUM(D2:D743)</f>
        <v>10</v>
      </c>
      <c r="E745" s="54" t="s">
        <v>25</v>
      </c>
      <c r="F745" s="32">
        <f>SUM(F2:F743)</f>
        <v>35</v>
      </c>
    </row>
    <row r="746" spans="1:6" x14ac:dyDescent="0.35">
      <c r="E746" s="5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59F7-BD28-4DE0-8F7A-6E70224497AC}">
  <dimension ref="A1:M743"/>
  <sheetViews>
    <sheetView tabSelected="1" workbookViewId="0">
      <selection activeCell="G18" sqref="G18"/>
    </sheetView>
  </sheetViews>
  <sheetFormatPr defaultRowHeight="14.5" x14ac:dyDescent="0.35"/>
  <cols>
    <col min="1" max="1" width="13.1796875" style="2" customWidth="1"/>
    <col min="2" max="2" width="18.7265625" style="48" customWidth="1"/>
    <col min="4" max="4" width="22.7265625" customWidth="1"/>
    <col min="7" max="7" width="10.453125" style="2" customWidth="1"/>
    <col min="8" max="8" width="14.26953125" style="48" customWidth="1"/>
    <col min="9" max="9" width="10.453125" customWidth="1"/>
    <col min="10" max="10" width="10.7265625" customWidth="1"/>
    <col min="11" max="11" width="11.453125" style="71" bestFit="1" customWidth="1"/>
  </cols>
  <sheetData>
    <row r="1" spans="1:13" ht="15" thickBot="1" x14ac:dyDescent="0.4">
      <c r="A1" s="63" t="s">
        <v>0</v>
      </c>
      <c r="B1" s="49" t="s">
        <v>9</v>
      </c>
      <c r="C1" s="24"/>
      <c r="D1" s="67" t="s">
        <v>41</v>
      </c>
      <c r="E1" s="74" t="s">
        <v>36</v>
      </c>
      <c r="F1" s="75"/>
      <c r="G1" s="75"/>
      <c r="H1" s="73"/>
      <c r="J1" s="64" t="s">
        <v>0</v>
      </c>
      <c r="K1" s="70" t="s">
        <v>9</v>
      </c>
      <c r="L1" s="45" t="s">
        <v>34</v>
      </c>
      <c r="M1" s="46" t="s">
        <v>35</v>
      </c>
    </row>
    <row r="2" spans="1:13" x14ac:dyDescent="0.35">
      <c r="A2" s="42">
        <f>'VaR Model'!C2</f>
        <v>44565</v>
      </c>
      <c r="B2" s="50">
        <f>'VaR Model'!D2</f>
        <v>1.1182879484670987E-2</v>
      </c>
      <c r="D2" s="30" t="s">
        <v>37</v>
      </c>
      <c r="E2" s="68">
        <f>'VaR Model'!G2</f>
        <v>-2.4458931880814088E-2</v>
      </c>
      <c r="F2" s="68"/>
      <c r="G2" s="76"/>
      <c r="H2" s="50"/>
      <c r="J2" s="42">
        <f>'VaR Model'!C2</f>
        <v>44565</v>
      </c>
      <c r="K2" s="71">
        <f>'VaR Model'!D2</f>
        <v>1.1182879484670987E-2</v>
      </c>
      <c r="L2">
        <f>Backtesting!D2</f>
        <v>0</v>
      </c>
      <c r="M2" s="7">
        <f>Backtesting!F2</f>
        <v>0</v>
      </c>
    </row>
    <row r="3" spans="1:13" x14ac:dyDescent="0.35">
      <c r="A3" s="42">
        <f>'VaR Model'!C3</f>
        <v>44566</v>
      </c>
      <c r="B3" s="50">
        <f>'VaR Model'!D3</f>
        <v>-1.9514310158378425E-3</v>
      </c>
      <c r="D3" s="30" t="s">
        <v>38</v>
      </c>
      <c r="E3" s="68"/>
      <c r="F3" s="68">
        <f>'VaR Model'!G7</f>
        <v>-1.4353066081597915E-2</v>
      </c>
      <c r="G3" s="76"/>
      <c r="H3" s="50"/>
      <c r="J3" s="42">
        <f>'VaR Model'!C3</f>
        <v>44566</v>
      </c>
      <c r="K3" s="71">
        <f>'VaR Model'!D3</f>
        <v>-1.9514310158378425E-3</v>
      </c>
      <c r="L3">
        <f>Backtesting!D3</f>
        <v>0</v>
      </c>
      <c r="M3" s="7">
        <f>Backtesting!F3</f>
        <v>0</v>
      </c>
    </row>
    <row r="4" spans="1:13" x14ac:dyDescent="0.35">
      <c r="A4" s="42">
        <f>'VaR Model'!C4</f>
        <v>44567</v>
      </c>
      <c r="B4" s="50">
        <f>'VaR Model'!D4</f>
        <v>-1.25173066997382E-2</v>
      </c>
      <c r="D4" s="30" t="s">
        <v>39</v>
      </c>
      <c r="E4" s="68"/>
      <c r="F4" s="68"/>
      <c r="G4" s="68">
        <f>'VaR Model'!G16</f>
        <v>-2.1486122599356419E-2</v>
      </c>
      <c r="H4" s="50"/>
      <c r="J4" s="42">
        <f>'VaR Model'!C4</f>
        <v>44567</v>
      </c>
      <c r="K4" s="71">
        <f>'VaR Model'!D4</f>
        <v>-1.25173066997382E-2</v>
      </c>
      <c r="L4">
        <f>Backtesting!D4</f>
        <v>0</v>
      </c>
      <c r="M4" s="7">
        <f>Backtesting!F4</f>
        <v>0</v>
      </c>
    </row>
    <row r="5" spans="1:13" ht="15" thickBot="1" x14ac:dyDescent="0.4">
      <c r="A5" s="42">
        <f>'VaR Model'!C5</f>
        <v>44568</v>
      </c>
      <c r="B5" s="50">
        <f>'VaR Model'!D5</f>
        <v>5.4297802469574453E-3</v>
      </c>
      <c r="D5" s="69" t="s">
        <v>40</v>
      </c>
      <c r="E5" s="44"/>
      <c r="F5" s="44"/>
      <c r="G5" s="77"/>
      <c r="H5" s="8">
        <f>'VaR Model'!G21</f>
        <v>-1.5036332051297405E-2</v>
      </c>
      <c r="J5" s="42">
        <f>'VaR Model'!C5</f>
        <v>44568</v>
      </c>
      <c r="K5" s="71">
        <f>'VaR Model'!D5</f>
        <v>5.4297802469574453E-3</v>
      </c>
      <c r="L5">
        <f>Backtesting!D5</f>
        <v>0</v>
      </c>
      <c r="M5" s="7">
        <f>Backtesting!F5</f>
        <v>0</v>
      </c>
    </row>
    <row r="6" spans="1:13" x14ac:dyDescent="0.35">
      <c r="A6" s="42">
        <f>'VaR Model'!C6</f>
        <v>44571</v>
      </c>
      <c r="B6" s="50">
        <f>'VaR Model'!D6</f>
        <v>1.4307551602278571E-2</v>
      </c>
      <c r="J6" s="42">
        <f>'VaR Model'!C6</f>
        <v>44571</v>
      </c>
      <c r="K6" s="71">
        <f>'VaR Model'!D6</f>
        <v>1.4307551602278571E-2</v>
      </c>
      <c r="L6">
        <f>Backtesting!D6</f>
        <v>0</v>
      </c>
      <c r="M6" s="7">
        <f>Backtesting!F6</f>
        <v>0</v>
      </c>
    </row>
    <row r="7" spans="1:13" x14ac:dyDescent="0.35">
      <c r="A7" s="42">
        <f>'VaR Model'!C7</f>
        <v>44572</v>
      </c>
      <c r="B7" s="50">
        <f>'VaR Model'!D7</f>
        <v>2.5708721385186645E-3</v>
      </c>
      <c r="J7" s="42">
        <f>'VaR Model'!C7</f>
        <v>44572</v>
      </c>
      <c r="K7" s="71">
        <f>'VaR Model'!D7</f>
        <v>2.5708721385186645E-3</v>
      </c>
      <c r="L7">
        <f>Backtesting!D7</f>
        <v>0</v>
      </c>
      <c r="M7" s="7">
        <f>Backtesting!F7</f>
        <v>0</v>
      </c>
    </row>
    <row r="8" spans="1:13" x14ac:dyDescent="0.35">
      <c r="A8" s="42">
        <f>'VaR Model'!C8</f>
        <v>44573</v>
      </c>
      <c r="B8" s="50">
        <f>'VaR Model'!D8</f>
        <v>8.6542242736393962E-3</v>
      </c>
      <c r="J8" s="42">
        <f>'VaR Model'!C8</f>
        <v>44573</v>
      </c>
      <c r="K8" s="71">
        <f>'VaR Model'!D8</f>
        <v>8.6542242736393962E-3</v>
      </c>
      <c r="L8">
        <f>Backtesting!D8</f>
        <v>0</v>
      </c>
      <c r="M8" s="7">
        <f>Backtesting!F8</f>
        <v>0</v>
      </c>
    </row>
    <row r="9" spans="1:13" x14ac:dyDescent="0.35">
      <c r="A9" s="42">
        <f>'VaR Model'!C9</f>
        <v>44574</v>
      </c>
      <c r="B9" s="50">
        <f>'VaR Model'!D9</f>
        <v>6.4392229427935902E-3</v>
      </c>
      <c r="J9" s="42">
        <f>'VaR Model'!C9</f>
        <v>44574</v>
      </c>
      <c r="K9" s="71">
        <f>'VaR Model'!D9</f>
        <v>6.4392229427935902E-3</v>
      </c>
      <c r="L9">
        <f>Backtesting!D9</f>
        <v>0</v>
      </c>
      <c r="M9" s="7">
        <f>Backtesting!F9</f>
        <v>0</v>
      </c>
    </row>
    <row r="10" spans="1:13" x14ac:dyDescent="0.35">
      <c r="A10" s="42">
        <f>'VaR Model'!C10</f>
        <v>44575</v>
      </c>
      <c r="B10" s="50">
        <f>'VaR Model'!D10</f>
        <v>4.9147912296658349E-3</v>
      </c>
      <c r="J10" s="42">
        <f>'VaR Model'!C10</f>
        <v>44575</v>
      </c>
      <c r="K10" s="71">
        <f>'VaR Model'!D10</f>
        <v>4.9147912296658349E-3</v>
      </c>
      <c r="L10">
        <f>Backtesting!D10</f>
        <v>0</v>
      </c>
      <c r="M10" s="7">
        <f>Backtesting!F10</f>
        <v>0</v>
      </c>
    </row>
    <row r="11" spans="1:13" x14ac:dyDescent="0.35">
      <c r="A11" s="42">
        <f>'VaR Model'!C11</f>
        <v>44578</v>
      </c>
      <c r="B11" s="50">
        <f>'VaR Model'!D11</f>
        <v>6.2618283531617651E-3</v>
      </c>
      <c r="J11" s="42">
        <f>'VaR Model'!C11</f>
        <v>44578</v>
      </c>
      <c r="K11" s="71">
        <f>'VaR Model'!D11</f>
        <v>6.2618283531617651E-3</v>
      </c>
      <c r="L11">
        <f>Backtesting!D11</f>
        <v>0</v>
      </c>
      <c r="M11" s="7">
        <f>Backtesting!F11</f>
        <v>0</v>
      </c>
    </row>
    <row r="12" spans="1:13" x14ac:dyDescent="0.35">
      <c r="A12" s="42">
        <f>'VaR Model'!C12</f>
        <v>44579</v>
      </c>
      <c r="B12" s="50">
        <f>'VaR Model'!D12</f>
        <v>-8.3013322314267179E-3</v>
      </c>
      <c r="J12" s="42">
        <f>'VaR Model'!C12</f>
        <v>44579</v>
      </c>
      <c r="K12" s="71">
        <f>'VaR Model'!D12</f>
        <v>-8.3013322314267179E-3</v>
      </c>
      <c r="L12">
        <f>Backtesting!D12</f>
        <v>0</v>
      </c>
      <c r="M12" s="7">
        <f>Backtesting!F12</f>
        <v>0</v>
      </c>
    </row>
    <row r="13" spans="1:13" x14ac:dyDescent="0.35">
      <c r="A13" s="42">
        <f>'VaR Model'!C13</f>
        <v>44580</v>
      </c>
      <c r="B13" s="50">
        <f>'VaR Model'!D13</f>
        <v>-1.3447475074478705E-2</v>
      </c>
      <c r="J13" s="42">
        <f>'VaR Model'!C13</f>
        <v>44580</v>
      </c>
      <c r="K13" s="71">
        <f>'VaR Model'!D13</f>
        <v>-1.3447475074478705E-2</v>
      </c>
      <c r="L13">
        <f>Backtesting!D13</f>
        <v>0</v>
      </c>
      <c r="M13" s="7">
        <f>Backtesting!F13</f>
        <v>0</v>
      </c>
    </row>
    <row r="14" spans="1:13" x14ac:dyDescent="0.35">
      <c r="A14" s="42">
        <f>'VaR Model'!C14</f>
        <v>44581</v>
      </c>
      <c r="B14" s="50">
        <f>'VaR Model'!D14</f>
        <v>-1.3833329913778915E-2</v>
      </c>
      <c r="J14" s="42">
        <f>'VaR Model'!C14</f>
        <v>44581</v>
      </c>
      <c r="K14" s="71">
        <f>'VaR Model'!D14</f>
        <v>-1.3833329913778915E-2</v>
      </c>
      <c r="L14">
        <f>Backtesting!D14</f>
        <v>0</v>
      </c>
      <c r="M14" s="7">
        <f>Backtesting!F14</f>
        <v>0</v>
      </c>
    </row>
    <row r="15" spans="1:13" x14ac:dyDescent="0.35">
      <c r="A15" s="42">
        <f>'VaR Model'!C15</f>
        <v>44582</v>
      </c>
      <c r="B15" s="50">
        <f>'VaR Model'!D15</f>
        <v>-6.8011825427007622E-3</v>
      </c>
      <c r="J15" s="42">
        <f>'VaR Model'!C15</f>
        <v>44582</v>
      </c>
      <c r="K15" s="71">
        <f>'VaR Model'!D15</f>
        <v>-6.8011825427007622E-3</v>
      </c>
      <c r="L15">
        <f>Backtesting!D15</f>
        <v>0</v>
      </c>
      <c r="M15" s="7">
        <f>Backtesting!F15</f>
        <v>0</v>
      </c>
    </row>
    <row r="16" spans="1:13" x14ac:dyDescent="0.35">
      <c r="A16" s="42">
        <f>'VaR Model'!C16</f>
        <v>44585</v>
      </c>
      <c r="B16" s="50">
        <f>'VaR Model'!D16</f>
        <v>-2.3463703588195925E-2</v>
      </c>
      <c r="J16" s="42">
        <f>'VaR Model'!C16</f>
        <v>44585</v>
      </c>
      <c r="K16" s="71">
        <f>'VaR Model'!D16</f>
        <v>-2.3463703588195925E-2</v>
      </c>
      <c r="L16">
        <f>Backtesting!D16</f>
        <v>1</v>
      </c>
      <c r="M16" s="7">
        <f>Backtesting!F16</f>
        <v>1</v>
      </c>
    </row>
    <row r="17" spans="1:13" x14ac:dyDescent="0.35">
      <c r="A17" s="42">
        <f>'VaR Model'!C17</f>
        <v>44586</v>
      </c>
      <c r="B17" s="50">
        <f>'VaR Model'!D17</f>
        <v>9.8442817474349558E-4</v>
      </c>
      <c r="J17" s="42">
        <f>'VaR Model'!C17</f>
        <v>44586</v>
      </c>
      <c r="K17" s="71">
        <f>'VaR Model'!D17</f>
        <v>9.8442817474349558E-4</v>
      </c>
      <c r="L17">
        <f>Backtesting!D17</f>
        <v>0</v>
      </c>
      <c r="M17" s="7">
        <f>Backtesting!F17</f>
        <v>0</v>
      </c>
    </row>
    <row r="18" spans="1:13" x14ac:dyDescent="0.35">
      <c r="A18" s="42">
        <f>'VaR Model'!C18</f>
        <v>44588</v>
      </c>
      <c r="B18" s="50">
        <f>'VaR Model'!D18</f>
        <v>-1.6087481203742555E-2</v>
      </c>
      <c r="J18" s="42">
        <f>'VaR Model'!C18</f>
        <v>44588</v>
      </c>
      <c r="K18" s="71">
        <f>'VaR Model'!D18</f>
        <v>-1.6087481203742555E-2</v>
      </c>
      <c r="L18">
        <f>Backtesting!D18</f>
        <v>0</v>
      </c>
      <c r="M18" s="7">
        <f>Backtesting!F18</f>
        <v>1</v>
      </c>
    </row>
    <row r="19" spans="1:13" x14ac:dyDescent="0.35">
      <c r="A19" s="42">
        <f>'VaR Model'!C19</f>
        <v>44589</v>
      </c>
      <c r="B19" s="50">
        <f>'VaR Model'!D19</f>
        <v>2.284459200059966E-3</v>
      </c>
      <c r="J19" s="42">
        <f>'VaR Model'!C19</f>
        <v>44589</v>
      </c>
      <c r="K19" s="71">
        <f>'VaR Model'!D19</f>
        <v>2.284459200059966E-3</v>
      </c>
      <c r="L19">
        <f>Backtesting!D19</f>
        <v>0</v>
      </c>
      <c r="M19" s="7">
        <f>Backtesting!F19</f>
        <v>0</v>
      </c>
    </row>
    <row r="20" spans="1:13" x14ac:dyDescent="0.35">
      <c r="A20" s="42">
        <f>'VaR Model'!C20</f>
        <v>44592</v>
      </c>
      <c r="B20" s="50">
        <f>'VaR Model'!D20</f>
        <v>1.6956772139744204E-2</v>
      </c>
      <c r="J20" s="42">
        <f>'VaR Model'!C20</f>
        <v>44592</v>
      </c>
      <c r="K20" s="71">
        <f>'VaR Model'!D20</f>
        <v>1.6956772139744204E-2</v>
      </c>
      <c r="L20">
        <f>Backtesting!D20</f>
        <v>0</v>
      </c>
      <c r="M20" s="7">
        <f>Backtesting!F20</f>
        <v>0</v>
      </c>
    </row>
    <row r="21" spans="1:13" x14ac:dyDescent="0.35">
      <c r="A21" s="42">
        <f>'VaR Model'!C21</f>
        <v>44593</v>
      </c>
      <c r="B21" s="50">
        <f>'VaR Model'!D21</f>
        <v>1.8962536342330354E-2</v>
      </c>
      <c r="J21" s="42">
        <f>'VaR Model'!C21</f>
        <v>44593</v>
      </c>
      <c r="K21" s="71">
        <f>'VaR Model'!D21</f>
        <v>1.8962536342330354E-2</v>
      </c>
      <c r="L21">
        <f>Backtesting!D21</f>
        <v>0</v>
      </c>
      <c r="M21" s="7">
        <f>Backtesting!F21</f>
        <v>0</v>
      </c>
    </row>
    <row r="22" spans="1:13" x14ac:dyDescent="0.35">
      <c r="A22" s="42">
        <f>'VaR Model'!C22</f>
        <v>44594</v>
      </c>
      <c r="B22" s="50">
        <f>'VaR Model'!D22</f>
        <v>9.6773006091781782E-3</v>
      </c>
      <c r="J22" s="42">
        <f>'VaR Model'!C22</f>
        <v>44594</v>
      </c>
      <c r="K22" s="71">
        <f>'VaR Model'!D22</f>
        <v>9.6773006091781782E-3</v>
      </c>
      <c r="L22">
        <f>Backtesting!D22</f>
        <v>0</v>
      </c>
      <c r="M22" s="7">
        <f>Backtesting!F22</f>
        <v>0</v>
      </c>
    </row>
    <row r="23" spans="1:13" x14ac:dyDescent="0.35">
      <c r="A23" s="42">
        <f>'VaR Model'!C23</f>
        <v>44595</v>
      </c>
      <c r="B23" s="50">
        <f>'VaR Model'!D23</f>
        <v>-8.9667534428543375E-3</v>
      </c>
      <c r="J23" s="42">
        <f>'VaR Model'!C23</f>
        <v>44595</v>
      </c>
      <c r="K23" s="71">
        <f>'VaR Model'!D23</f>
        <v>-8.9667534428543375E-3</v>
      </c>
      <c r="L23">
        <f>Backtesting!D23</f>
        <v>0</v>
      </c>
      <c r="M23" s="7">
        <f>Backtesting!F23</f>
        <v>0</v>
      </c>
    </row>
    <row r="24" spans="1:13" x14ac:dyDescent="0.35">
      <c r="A24" s="42">
        <f>'VaR Model'!C24</f>
        <v>44596</v>
      </c>
      <c r="B24" s="50">
        <f>'VaR Model'!D24</f>
        <v>-3.1397812390691095E-3</v>
      </c>
      <c r="J24" s="42">
        <f>'VaR Model'!C24</f>
        <v>44596</v>
      </c>
      <c r="K24" s="71">
        <f>'VaR Model'!D24</f>
        <v>-3.1397812390691095E-3</v>
      </c>
      <c r="L24">
        <f>Backtesting!D24</f>
        <v>0</v>
      </c>
      <c r="M24" s="7">
        <f>Backtesting!F24</f>
        <v>0</v>
      </c>
    </row>
    <row r="25" spans="1:13" x14ac:dyDescent="0.35">
      <c r="A25" s="42">
        <f>'VaR Model'!C25</f>
        <v>44599</v>
      </c>
      <c r="B25" s="50">
        <f>'VaR Model'!D25</f>
        <v>-1.4353066081597915E-2</v>
      </c>
      <c r="J25" s="42">
        <f>'VaR Model'!C25</f>
        <v>44599</v>
      </c>
      <c r="K25" s="71">
        <f>'VaR Model'!D25</f>
        <v>-1.4353066081597915E-2</v>
      </c>
      <c r="L25">
        <f>Backtesting!D25</f>
        <v>0</v>
      </c>
      <c r="M25" s="7">
        <f>Backtesting!F25</f>
        <v>0</v>
      </c>
    </row>
    <row r="26" spans="1:13" x14ac:dyDescent="0.35">
      <c r="A26" s="42">
        <f>'VaR Model'!C26</f>
        <v>44600</v>
      </c>
      <c r="B26" s="50">
        <f>'VaR Model'!D26</f>
        <v>4.1671630051187594E-3</v>
      </c>
      <c r="J26" s="42">
        <f>'VaR Model'!C26</f>
        <v>44600</v>
      </c>
      <c r="K26" s="71">
        <f>'VaR Model'!D26</f>
        <v>4.1671630051187594E-3</v>
      </c>
      <c r="L26">
        <f>Backtesting!D26</f>
        <v>0</v>
      </c>
      <c r="M26" s="7">
        <f>Backtesting!F26</f>
        <v>0</v>
      </c>
    </row>
    <row r="27" spans="1:13" x14ac:dyDescent="0.35">
      <c r="A27" s="42">
        <f>'VaR Model'!C27</f>
        <v>44601</v>
      </c>
      <c r="B27" s="50">
        <f>'VaR Model'!D27</f>
        <v>7.1729306240567343E-3</v>
      </c>
      <c r="J27" s="42">
        <f>'VaR Model'!C27</f>
        <v>44601</v>
      </c>
      <c r="K27" s="71">
        <f>'VaR Model'!D27</f>
        <v>7.1729306240567343E-3</v>
      </c>
      <c r="L27">
        <f>Backtesting!D27</f>
        <v>0</v>
      </c>
      <c r="M27" s="7">
        <f>Backtesting!F27</f>
        <v>0</v>
      </c>
    </row>
    <row r="28" spans="1:13" x14ac:dyDescent="0.35">
      <c r="A28" s="42">
        <f>'VaR Model'!C28</f>
        <v>44602</v>
      </c>
      <c r="B28" s="50">
        <f>'VaR Model'!D28</f>
        <v>6.4876384148777107E-3</v>
      </c>
      <c r="J28" s="42">
        <f>'VaR Model'!C28</f>
        <v>44602</v>
      </c>
      <c r="K28" s="71">
        <f>'VaR Model'!D28</f>
        <v>6.4876384148777107E-3</v>
      </c>
      <c r="L28">
        <f>Backtesting!D28</f>
        <v>0</v>
      </c>
      <c r="M28" s="7">
        <f>Backtesting!F28</f>
        <v>0</v>
      </c>
    </row>
    <row r="29" spans="1:13" x14ac:dyDescent="0.35">
      <c r="A29" s="42">
        <f>'VaR Model'!C29</f>
        <v>44603</v>
      </c>
      <c r="B29" s="50">
        <f>'VaR Model'!D29</f>
        <v>-1.3471386161545799E-2</v>
      </c>
      <c r="J29" s="42">
        <f>'VaR Model'!C29</f>
        <v>44603</v>
      </c>
      <c r="K29" s="71">
        <f>'VaR Model'!D29</f>
        <v>-1.3471386161545799E-2</v>
      </c>
      <c r="L29">
        <f>Backtesting!D29</f>
        <v>0</v>
      </c>
      <c r="M29" s="7">
        <f>Backtesting!F29</f>
        <v>0</v>
      </c>
    </row>
    <row r="30" spans="1:13" x14ac:dyDescent="0.35">
      <c r="A30" s="42">
        <f>'VaR Model'!C30</f>
        <v>44606</v>
      </c>
      <c r="B30" s="50">
        <f>'VaR Model'!D30</f>
        <v>-2.6843243927530704E-2</v>
      </c>
      <c r="J30" s="42">
        <f>'VaR Model'!C30</f>
        <v>44606</v>
      </c>
      <c r="K30" s="71">
        <f>'VaR Model'!D30</f>
        <v>-2.6843243927530704E-2</v>
      </c>
      <c r="L30">
        <f>Backtesting!D30</f>
        <v>1</v>
      </c>
      <c r="M30" s="7">
        <f>Backtesting!F30</f>
        <v>1</v>
      </c>
    </row>
    <row r="31" spans="1:13" x14ac:dyDescent="0.35">
      <c r="A31" s="42">
        <f>'VaR Model'!C31</f>
        <v>44607</v>
      </c>
      <c r="B31" s="50">
        <f>'VaR Model'!D31</f>
        <v>2.6738923446821522E-2</v>
      </c>
      <c r="J31" s="42">
        <f>'VaR Model'!C31</f>
        <v>44607</v>
      </c>
      <c r="K31" s="71">
        <f>'VaR Model'!D31</f>
        <v>2.6738923446821522E-2</v>
      </c>
      <c r="L31">
        <f>Backtesting!D31</f>
        <v>0</v>
      </c>
      <c r="M31" s="7">
        <f>Backtesting!F31</f>
        <v>0</v>
      </c>
    </row>
    <row r="32" spans="1:13" x14ac:dyDescent="0.35">
      <c r="A32" s="42">
        <f>'VaR Model'!C32</f>
        <v>44608</v>
      </c>
      <c r="B32" s="50">
        <f>'VaR Model'!D32</f>
        <v>-4.5718680191814791E-3</v>
      </c>
      <c r="J32" s="42">
        <f>'VaR Model'!C32</f>
        <v>44608</v>
      </c>
      <c r="K32" s="71">
        <f>'VaR Model'!D32</f>
        <v>-4.5718680191814791E-3</v>
      </c>
      <c r="L32">
        <f>Backtesting!D32</f>
        <v>0</v>
      </c>
      <c r="M32" s="7">
        <f>Backtesting!F32</f>
        <v>0</v>
      </c>
    </row>
    <row r="33" spans="1:13" x14ac:dyDescent="0.35">
      <c r="A33" s="42">
        <f>'VaR Model'!C33</f>
        <v>44609</v>
      </c>
      <c r="B33" s="50">
        <f>'VaR Model'!D33</f>
        <v>-3.6965867701654535E-3</v>
      </c>
      <c r="J33" s="42">
        <f>'VaR Model'!C33</f>
        <v>44609</v>
      </c>
      <c r="K33" s="71">
        <f>'VaR Model'!D33</f>
        <v>-3.6965867701654535E-3</v>
      </c>
      <c r="L33">
        <f>Backtesting!D33</f>
        <v>0</v>
      </c>
      <c r="M33" s="7">
        <f>Backtesting!F33</f>
        <v>0</v>
      </c>
    </row>
    <row r="34" spans="1:13" x14ac:dyDescent="0.35">
      <c r="A34" s="42">
        <f>'VaR Model'!C34</f>
        <v>44610</v>
      </c>
      <c r="B34" s="50">
        <f>'VaR Model'!D34</f>
        <v>-4.1997474874777216E-3</v>
      </c>
      <c r="J34" s="42">
        <f>'VaR Model'!C34</f>
        <v>44610</v>
      </c>
      <c r="K34" s="71">
        <f>'VaR Model'!D34</f>
        <v>-4.1997474874777216E-3</v>
      </c>
      <c r="L34">
        <f>Backtesting!D34</f>
        <v>0</v>
      </c>
      <c r="M34" s="7">
        <f>Backtesting!F34</f>
        <v>0</v>
      </c>
    </row>
    <row r="35" spans="1:13" x14ac:dyDescent="0.35">
      <c r="A35" s="42">
        <f>'VaR Model'!C35</f>
        <v>44613</v>
      </c>
      <c r="B35" s="50">
        <f>'VaR Model'!D35</f>
        <v>-5.3036751384183695E-3</v>
      </c>
      <c r="J35" s="42">
        <f>'VaR Model'!C35</f>
        <v>44613</v>
      </c>
      <c r="K35" s="71">
        <f>'VaR Model'!D35</f>
        <v>-5.3036751384183695E-3</v>
      </c>
      <c r="L35">
        <f>Backtesting!D35</f>
        <v>0</v>
      </c>
      <c r="M35" s="7">
        <f>Backtesting!F35</f>
        <v>0</v>
      </c>
    </row>
    <row r="36" spans="1:13" x14ac:dyDescent="0.35">
      <c r="A36" s="42">
        <f>'VaR Model'!C36</f>
        <v>44614</v>
      </c>
      <c r="B36" s="50">
        <f>'VaR Model'!D36</f>
        <v>-1.1519960120515505E-2</v>
      </c>
      <c r="J36" s="42">
        <f>'VaR Model'!C36</f>
        <v>44614</v>
      </c>
      <c r="K36" s="71">
        <f>'VaR Model'!D36</f>
        <v>-1.1519960120515505E-2</v>
      </c>
      <c r="L36">
        <f>Backtesting!D36</f>
        <v>0</v>
      </c>
      <c r="M36" s="7">
        <f>Backtesting!F36</f>
        <v>0</v>
      </c>
    </row>
    <row r="37" spans="1:13" x14ac:dyDescent="0.35">
      <c r="A37" s="42">
        <f>'VaR Model'!C37</f>
        <v>44615</v>
      </c>
      <c r="B37" s="50">
        <f>'VaR Model'!D37</f>
        <v>-2.312918138853092E-3</v>
      </c>
      <c r="J37" s="42">
        <f>'VaR Model'!C37</f>
        <v>44615</v>
      </c>
      <c r="K37" s="71">
        <f>'VaR Model'!D37</f>
        <v>-2.312918138853092E-3</v>
      </c>
      <c r="L37">
        <f>Backtesting!D37</f>
        <v>0</v>
      </c>
      <c r="M37" s="7">
        <f>Backtesting!F37</f>
        <v>0</v>
      </c>
    </row>
    <row r="38" spans="1:13" x14ac:dyDescent="0.35">
      <c r="A38" s="42">
        <f>'VaR Model'!C38</f>
        <v>44616</v>
      </c>
      <c r="B38" s="50">
        <f>'VaR Model'!D38</f>
        <v>-4.43740562797377E-2</v>
      </c>
      <c r="J38" s="42">
        <f>'VaR Model'!C38</f>
        <v>44616</v>
      </c>
      <c r="K38" s="71">
        <f>'VaR Model'!D38</f>
        <v>-4.43740562797377E-2</v>
      </c>
      <c r="L38">
        <f>Backtesting!D38</f>
        <v>1</v>
      </c>
      <c r="M38" s="7">
        <f>Backtesting!F38</f>
        <v>1</v>
      </c>
    </row>
    <row r="39" spans="1:13" x14ac:dyDescent="0.35">
      <c r="A39" s="42">
        <f>'VaR Model'!C39</f>
        <v>44617</v>
      </c>
      <c r="B39" s="50">
        <f>'VaR Model'!D39</f>
        <v>2.2782265663331407E-2</v>
      </c>
      <c r="J39" s="42">
        <f>'VaR Model'!C39</f>
        <v>44617</v>
      </c>
      <c r="K39" s="71">
        <f>'VaR Model'!D39</f>
        <v>2.2782265663331407E-2</v>
      </c>
      <c r="L39">
        <f>Backtesting!D39</f>
        <v>0</v>
      </c>
      <c r="M39" s="7">
        <f>Backtesting!F39</f>
        <v>0</v>
      </c>
    </row>
    <row r="40" spans="1:13" x14ac:dyDescent="0.35">
      <c r="A40" s="42">
        <f>'VaR Model'!C40</f>
        <v>44620</v>
      </c>
      <c r="B40" s="50">
        <f>'VaR Model'!D40</f>
        <v>1.6071998816094238E-2</v>
      </c>
      <c r="J40" s="42">
        <f>'VaR Model'!C40</f>
        <v>44620</v>
      </c>
      <c r="K40" s="71">
        <f>'VaR Model'!D40</f>
        <v>1.6071998816094238E-2</v>
      </c>
      <c r="L40">
        <f>Backtesting!D40</f>
        <v>0</v>
      </c>
      <c r="M40" s="7">
        <f>Backtesting!F40</f>
        <v>0</v>
      </c>
    </row>
    <row r="41" spans="1:13" x14ac:dyDescent="0.35">
      <c r="A41" s="42">
        <f>'VaR Model'!C41</f>
        <v>44622</v>
      </c>
      <c r="B41" s="50">
        <f>'VaR Model'!D41</f>
        <v>-6.8273450896952047E-3</v>
      </c>
      <c r="J41" s="42">
        <f>'VaR Model'!C41</f>
        <v>44622</v>
      </c>
      <c r="K41" s="71">
        <f>'VaR Model'!D41</f>
        <v>-6.8273450896952047E-3</v>
      </c>
      <c r="L41">
        <f>Backtesting!D41</f>
        <v>0</v>
      </c>
      <c r="M41" s="7">
        <f>Backtesting!F41</f>
        <v>0</v>
      </c>
    </row>
    <row r="42" spans="1:13" x14ac:dyDescent="0.35">
      <c r="A42" s="42">
        <f>'VaR Model'!C42</f>
        <v>44623</v>
      </c>
      <c r="B42" s="50">
        <f>'VaR Model'!D42</f>
        <v>-5.9710683367148864E-4</v>
      </c>
      <c r="J42" s="42">
        <f>'VaR Model'!C42</f>
        <v>44623</v>
      </c>
      <c r="K42" s="71">
        <f>'VaR Model'!D42</f>
        <v>-5.9710683367148864E-4</v>
      </c>
      <c r="L42">
        <f>Backtesting!D42</f>
        <v>0</v>
      </c>
      <c r="M42" s="7">
        <f>Backtesting!F42</f>
        <v>0</v>
      </c>
    </row>
    <row r="43" spans="1:13" x14ac:dyDescent="0.35">
      <c r="A43" s="42">
        <f>'VaR Model'!C43</f>
        <v>44624</v>
      </c>
      <c r="B43" s="50">
        <f>'VaR Model'!D43</f>
        <v>-2.8077432337820767E-3</v>
      </c>
      <c r="J43" s="42">
        <f>'VaR Model'!C43</f>
        <v>44624</v>
      </c>
      <c r="K43" s="71">
        <f>'VaR Model'!D43</f>
        <v>-2.8077432337820767E-3</v>
      </c>
      <c r="L43">
        <f>Backtesting!D43</f>
        <v>0</v>
      </c>
      <c r="M43" s="7">
        <f>Backtesting!F43</f>
        <v>0</v>
      </c>
    </row>
    <row r="44" spans="1:13" x14ac:dyDescent="0.35">
      <c r="A44" s="42">
        <f>'VaR Model'!C44</f>
        <v>44627</v>
      </c>
      <c r="B44" s="50">
        <f>'VaR Model'!D44</f>
        <v>-1.8592163484137589E-2</v>
      </c>
      <c r="J44" s="42">
        <f>'VaR Model'!C44</f>
        <v>44627</v>
      </c>
      <c r="K44" s="71">
        <f>'VaR Model'!D44</f>
        <v>-1.8592163484137589E-2</v>
      </c>
      <c r="L44">
        <f>Backtesting!D44</f>
        <v>0</v>
      </c>
      <c r="M44" s="7">
        <f>Backtesting!F44</f>
        <v>1</v>
      </c>
    </row>
    <row r="45" spans="1:13" x14ac:dyDescent="0.35">
      <c r="A45" s="42">
        <f>'VaR Model'!C45</f>
        <v>44628</v>
      </c>
      <c r="B45" s="50">
        <f>'VaR Model'!D45</f>
        <v>1.5632997649709889E-2</v>
      </c>
      <c r="J45" s="42">
        <f>'VaR Model'!C45</f>
        <v>44628</v>
      </c>
      <c r="K45" s="71">
        <f>'VaR Model'!D45</f>
        <v>1.5632997649709889E-2</v>
      </c>
      <c r="L45">
        <f>Backtesting!D45</f>
        <v>0</v>
      </c>
      <c r="M45" s="7">
        <f>Backtesting!F45</f>
        <v>0</v>
      </c>
    </row>
    <row r="46" spans="1:13" x14ac:dyDescent="0.35">
      <c r="A46" s="42">
        <f>'VaR Model'!C46</f>
        <v>44629</v>
      </c>
      <c r="B46" s="50">
        <f>'VaR Model'!D46</f>
        <v>1.8856288898287811E-2</v>
      </c>
      <c r="J46" s="42">
        <f>'VaR Model'!C46</f>
        <v>44629</v>
      </c>
      <c r="K46" s="71">
        <f>'VaR Model'!D46</f>
        <v>1.8856288898287811E-2</v>
      </c>
      <c r="L46">
        <f>Backtesting!D46</f>
        <v>0</v>
      </c>
      <c r="M46" s="7">
        <f>Backtesting!F46</f>
        <v>0</v>
      </c>
    </row>
    <row r="47" spans="1:13" x14ac:dyDescent="0.35">
      <c r="A47" s="42">
        <f>'VaR Model'!C47</f>
        <v>44630</v>
      </c>
      <c r="B47" s="50">
        <f>'VaR Model'!D47</f>
        <v>9.058766044757199E-3</v>
      </c>
      <c r="J47" s="42">
        <f>'VaR Model'!C47</f>
        <v>44630</v>
      </c>
      <c r="K47" s="71">
        <f>'VaR Model'!D47</f>
        <v>9.058766044757199E-3</v>
      </c>
      <c r="L47">
        <f>Backtesting!D47</f>
        <v>0</v>
      </c>
      <c r="M47" s="7">
        <f>Backtesting!F47</f>
        <v>0</v>
      </c>
    </row>
    <row r="48" spans="1:13" x14ac:dyDescent="0.35">
      <c r="A48" s="42">
        <f>'VaR Model'!C48</f>
        <v>44631</v>
      </c>
      <c r="B48" s="50">
        <f>'VaR Model'!D48</f>
        <v>3.0394419075067602E-3</v>
      </c>
      <c r="J48" s="42">
        <f>'VaR Model'!C48</f>
        <v>44631</v>
      </c>
      <c r="K48" s="71">
        <f>'VaR Model'!D48</f>
        <v>3.0394419075067602E-3</v>
      </c>
      <c r="L48">
        <f>Backtesting!D48</f>
        <v>0</v>
      </c>
      <c r="M48" s="7">
        <f>Backtesting!F48</f>
        <v>0</v>
      </c>
    </row>
    <row r="49" spans="1:13" x14ac:dyDescent="0.35">
      <c r="A49" s="42">
        <f>'VaR Model'!C49</f>
        <v>44634</v>
      </c>
      <c r="B49" s="50">
        <f>'VaR Model'!D49</f>
        <v>1.9004393910874193E-2</v>
      </c>
      <c r="J49" s="42">
        <f>'VaR Model'!C49</f>
        <v>44634</v>
      </c>
      <c r="K49" s="71">
        <f>'VaR Model'!D49</f>
        <v>1.9004393910874193E-2</v>
      </c>
      <c r="L49">
        <f>Backtesting!D49</f>
        <v>0</v>
      </c>
      <c r="M49" s="7">
        <f>Backtesting!F49</f>
        <v>0</v>
      </c>
    </row>
    <row r="50" spans="1:13" x14ac:dyDescent="0.35">
      <c r="A50" s="42">
        <f>'VaR Model'!C50</f>
        <v>44635</v>
      </c>
      <c r="B50" s="50">
        <f>'VaR Model'!D50</f>
        <v>-1.3480912980842009E-2</v>
      </c>
      <c r="J50" s="42">
        <f>'VaR Model'!C50</f>
        <v>44635</v>
      </c>
      <c r="K50" s="71">
        <f>'VaR Model'!D50</f>
        <v>-1.3480912980842009E-2</v>
      </c>
      <c r="L50">
        <f>Backtesting!D50</f>
        <v>0</v>
      </c>
      <c r="M50" s="7">
        <f>Backtesting!F50</f>
        <v>0</v>
      </c>
    </row>
    <row r="51" spans="1:13" x14ac:dyDescent="0.35">
      <c r="A51" s="42">
        <f>'VaR Model'!C51</f>
        <v>44636</v>
      </c>
      <c r="B51" s="50">
        <f>'VaR Model'!D51</f>
        <v>1.9129711980961694E-2</v>
      </c>
      <c r="J51" s="42">
        <f>'VaR Model'!C51</f>
        <v>44636</v>
      </c>
      <c r="K51" s="71">
        <f>'VaR Model'!D51</f>
        <v>1.9129711980961694E-2</v>
      </c>
      <c r="L51">
        <f>Backtesting!D51</f>
        <v>0</v>
      </c>
      <c r="M51" s="7">
        <f>Backtesting!F51</f>
        <v>0</v>
      </c>
    </row>
    <row r="52" spans="1:13" x14ac:dyDescent="0.35">
      <c r="A52" s="42">
        <f>'VaR Model'!C52</f>
        <v>44637</v>
      </c>
      <c r="B52" s="50">
        <f>'VaR Model'!D52</f>
        <v>8.8948887880418437E-3</v>
      </c>
      <c r="J52" s="42">
        <f>'VaR Model'!C52</f>
        <v>44637</v>
      </c>
      <c r="K52" s="71">
        <f>'VaR Model'!D52</f>
        <v>8.8948887880418437E-3</v>
      </c>
      <c r="L52">
        <f>Backtesting!D52</f>
        <v>0</v>
      </c>
      <c r="M52" s="7">
        <f>Backtesting!F52</f>
        <v>0</v>
      </c>
    </row>
    <row r="53" spans="1:13" x14ac:dyDescent="0.35">
      <c r="A53" s="42">
        <f>'VaR Model'!C53</f>
        <v>44641</v>
      </c>
      <c r="B53" s="50">
        <f>'VaR Model'!D53</f>
        <v>-6.7870850982924098E-3</v>
      </c>
      <c r="J53" s="42">
        <f>'VaR Model'!C53</f>
        <v>44641</v>
      </c>
      <c r="K53" s="71">
        <f>'VaR Model'!D53</f>
        <v>-6.7870850982924098E-3</v>
      </c>
      <c r="L53">
        <f>Backtesting!D53</f>
        <v>0</v>
      </c>
      <c r="M53" s="7">
        <f>Backtesting!F53</f>
        <v>0</v>
      </c>
    </row>
    <row r="54" spans="1:13" x14ac:dyDescent="0.35">
      <c r="A54" s="42">
        <f>'VaR Model'!C54</f>
        <v>44642</v>
      </c>
      <c r="B54" s="50">
        <f>'VaR Model'!D54</f>
        <v>1.9161568908821213E-2</v>
      </c>
      <c r="J54" s="42">
        <f>'VaR Model'!C54</f>
        <v>44642</v>
      </c>
      <c r="K54" s="71">
        <f>'VaR Model'!D54</f>
        <v>1.9161568908821213E-2</v>
      </c>
      <c r="L54">
        <f>Backtesting!D54</f>
        <v>0</v>
      </c>
      <c r="M54" s="7">
        <f>Backtesting!F54</f>
        <v>0</v>
      </c>
    </row>
    <row r="55" spans="1:13" x14ac:dyDescent="0.35">
      <c r="A55" s="42">
        <f>'VaR Model'!C55</f>
        <v>44643</v>
      </c>
      <c r="B55" s="50">
        <f>'VaR Model'!D55</f>
        <v>1.4796315924685026E-3</v>
      </c>
      <c r="J55" s="42">
        <f>'VaR Model'!C55</f>
        <v>44643</v>
      </c>
      <c r="K55" s="71">
        <f>'VaR Model'!D55</f>
        <v>1.4796315924685026E-3</v>
      </c>
      <c r="L55">
        <f>Backtesting!D55</f>
        <v>0</v>
      </c>
      <c r="M55" s="7">
        <f>Backtesting!F55</f>
        <v>0</v>
      </c>
    </row>
    <row r="56" spans="1:13" x14ac:dyDescent="0.35">
      <c r="A56" s="42">
        <f>'VaR Model'!C56</f>
        <v>44644</v>
      </c>
      <c r="B56" s="50">
        <f>'VaR Model'!D56</f>
        <v>4.8971369798437876E-3</v>
      </c>
      <c r="J56" s="42">
        <f>'VaR Model'!C56</f>
        <v>44644</v>
      </c>
      <c r="K56" s="71">
        <f>'VaR Model'!D56</f>
        <v>4.8971369798437876E-3</v>
      </c>
      <c r="L56">
        <f>Backtesting!D56</f>
        <v>0</v>
      </c>
      <c r="M56" s="7">
        <f>Backtesting!F56</f>
        <v>0</v>
      </c>
    </row>
    <row r="57" spans="1:13" x14ac:dyDescent="0.35">
      <c r="A57" s="42">
        <f>'VaR Model'!C57</f>
        <v>44645</v>
      </c>
      <c r="B57" s="50">
        <f>'VaR Model'!D57</f>
        <v>-4.6163104881898186E-3</v>
      </c>
      <c r="J57" s="42">
        <f>'VaR Model'!C57</f>
        <v>44645</v>
      </c>
      <c r="K57" s="71">
        <f>'VaR Model'!D57</f>
        <v>-4.6163104881898186E-3</v>
      </c>
      <c r="L57">
        <f>Backtesting!D57</f>
        <v>0</v>
      </c>
      <c r="M57" s="7">
        <f>Backtesting!F57</f>
        <v>0</v>
      </c>
    </row>
    <row r="58" spans="1:13" x14ac:dyDescent="0.35">
      <c r="A58" s="42">
        <f>'VaR Model'!C58</f>
        <v>44648</v>
      </c>
      <c r="B58" s="50">
        <f>'VaR Model'!D58</f>
        <v>7.7817601425767642E-3</v>
      </c>
      <c r="J58" s="42">
        <f>'VaR Model'!C58</f>
        <v>44648</v>
      </c>
      <c r="K58" s="71">
        <f>'VaR Model'!D58</f>
        <v>7.7817601425767642E-3</v>
      </c>
      <c r="L58">
        <f>Backtesting!D58</f>
        <v>0</v>
      </c>
      <c r="M58" s="7">
        <f>Backtesting!F58</f>
        <v>0</v>
      </c>
    </row>
    <row r="59" spans="1:13" x14ac:dyDescent="0.35">
      <c r="A59" s="42">
        <f>'VaR Model'!C59</f>
        <v>44649</v>
      </c>
      <c r="B59" s="50">
        <f>'VaR Model'!D59</f>
        <v>6.7929473698361584E-4</v>
      </c>
      <c r="J59" s="42">
        <f>'VaR Model'!C59</f>
        <v>44649</v>
      </c>
      <c r="K59" s="71">
        <f>'VaR Model'!D59</f>
        <v>6.7929473698361584E-4</v>
      </c>
      <c r="L59">
        <f>Backtesting!D59</f>
        <v>0</v>
      </c>
      <c r="M59" s="7">
        <f>Backtesting!F59</f>
        <v>0</v>
      </c>
    </row>
    <row r="60" spans="1:13" x14ac:dyDescent="0.35">
      <c r="A60" s="42">
        <f>'VaR Model'!C60</f>
        <v>44650</v>
      </c>
      <c r="B60" s="50">
        <f>'VaR Model'!D60</f>
        <v>7.1384886011983742E-3</v>
      </c>
      <c r="J60" s="42">
        <f>'VaR Model'!C60</f>
        <v>44650</v>
      </c>
      <c r="K60" s="71">
        <f>'VaR Model'!D60</f>
        <v>7.1384886011983742E-3</v>
      </c>
      <c r="L60">
        <f>Backtesting!D60</f>
        <v>0</v>
      </c>
      <c r="M60" s="7">
        <f>Backtesting!F60</f>
        <v>0</v>
      </c>
    </row>
    <row r="61" spans="1:13" x14ac:dyDescent="0.35">
      <c r="A61" s="42">
        <f>'VaR Model'!C61</f>
        <v>44651</v>
      </c>
      <c r="B61" s="50">
        <f>'VaR Model'!D61</f>
        <v>-1.1286603310294101E-3</v>
      </c>
      <c r="J61" s="42">
        <f>'VaR Model'!C61</f>
        <v>44651</v>
      </c>
      <c r="K61" s="71">
        <f>'VaR Model'!D61</f>
        <v>-1.1286603310294101E-3</v>
      </c>
      <c r="L61">
        <f>Backtesting!D61</f>
        <v>0</v>
      </c>
      <c r="M61" s="7">
        <f>Backtesting!F61</f>
        <v>0</v>
      </c>
    </row>
    <row r="62" spans="1:13" x14ac:dyDescent="0.35">
      <c r="A62" s="42">
        <f>'VaR Model'!C62</f>
        <v>44652</v>
      </c>
      <c r="B62" s="50">
        <f>'VaR Model'!D62</f>
        <v>5.9783280822947923E-3</v>
      </c>
      <c r="J62" s="42">
        <f>'VaR Model'!C62</f>
        <v>44652</v>
      </c>
      <c r="K62" s="71">
        <f>'VaR Model'!D62</f>
        <v>5.9783280822947923E-3</v>
      </c>
      <c r="L62">
        <f>Backtesting!D62</f>
        <v>0</v>
      </c>
      <c r="M62" s="7">
        <f>Backtesting!F62</f>
        <v>0</v>
      </c>
    </row>
    <row r="63" spans="1:13" x14ac:dyDescent="0.35">
      <c r="A63" s="42">
        <f>'VaR Model'!C63</f>
        <v>44655</v>
      </c>
      <c r="B63" s="50">
        <f>'VaR Model'!D63</f>
        <v>3.5122181902715243E-3</v>
      </c>
      <c r="J63" s="42">
        <f>'VaR Model'!C63</f>
        <v>44655</v>
      </c>
      <c r="K63" s="71">
        <f>'VaR Model'!D63</f>
        <v>3.5122181902715243E-3</v>
      </c>
      <c r="L63">
        <f>Backtesting!D63</f>
        <v>0</v>
      </c>
      <c r="M63" s="7">
        <f>Backtesting!F63</f>
        <v>0</v>
      </c>
    </row>
    <row r="64" spans="1:13" x14ac:dyDescent="0.35">
      <c r="A64" s="42">
        <f>'VaR Model'!C64</f>
        <v>44656</v>
      </c>
      <c r="B64" s="50">
        <f>'VaR Model'!D64</f>
        <v>-1.019828160302042E-3</v>
      </c>
      <c r="J64" s="42">
        <f>'VaR Model'!C64</f>
        <v>44656</v>
      </c>
      <c r="K64" s="71">
        <f>'VaR Model'!D64</f>
        <v>-1.019828160302042E-3</v>
      </c>
      <c r="L64">
        <f>Backtesting!D64</f>
        <v>0</v>
      </c>
      <c r="M64" s="7">
        <f>Backtesting!F64</f>
        <v>0</v>
      </c>
    </row>
    <row r="65" spans="1:13" x14ac:dyDescent="0.35">
      <c r="A65" s="42">
        <f>'VaR Model'!C65</f>
        <v>44657</v>
      </c>
      <c r="B65" s="50">
        <f>'VaR Model'!D65</f>
        <v>-7.1100075380107625E-3</v>
      </c>
      <c r="J65" s="42">
        <f>'VaR Model'!C65</f>
        <v>44657</v>
      </c>
      <c r="K65" s="71">
        <f>'VaR Model'!D65</f>
        <v>-7.1100075380107625E-3</v>
      </c>
      <c r="L65">
        <f>Backtesting!D65</f>
        <v>0</v>
      </c>
      <c r="M65" s="7">
        <f>Backtesting!F65</f>
        <v>0</v>
      </c>
    </row>
    <row r="66" spans="1:13" x14ac:dyDescent="0.35">
      <c r="A66" s="42">
        <f>'VaR Model'!C66</f>
        <v>44658</v>
      </c>
      <c r="B66" s="50">
        <f>'VaR Model'!D66</f>
        <v>-9.7693403855832542E-3</v>
      </c>
      <c r="J66" s="42">
        <f>'VaR Model'!C66</f>
        <v>44658</v>
      </c>
      <c r="K66" s="71">
        <f>'VaR Model'!D66</f>
        <v>-9.7693403855832542E-3</v>
      </c>
      <c r="L66">
        <f>Backtesting!D66</f>
        <v>0</v>
      </c>
      <c r="M66" s="7">
        <f>Backtesting!F66</f>
        <v>0</v>
      </c>
    </row>
    <row r="67" spans="1:13" x14ac:dyDescent="0.35">
      <c r="A67" s="42">
        <f>'VaR Model'!C67</f>
        <v>44659</v>
      </c>
      <c r="B67" s="50">
        <f>'VaR Model'!D67</f>
        <v>1.2585883560827675E-2</v>
      </c>
      <c r="J67" s="42">
        <f>'VaR Model'!C67</f>
        <v>44659</v>
      </c>
      <c r="K67" s="71">
        <f>'VaR Model'!D67</f>
        <v>1.2585883560827675E-2</v>
      </c>
      <c r="L67">
        <f>Backtesting!D67</f>
        <v>0</v>
      </c>
      <c r="M67" s="7">
        <f>Backtesting!F67</f>
        <v>0</v>
      </c>
    </row>
    <row r="68" spans="1:13" x14ac:dyDescent="0.35">
      <c r="A68" s="42">
        <f>'VaR Model'!C68</f>
        <v>44662</v>
      </c>
      <c r="B68" s="50">
        <f>'VaR Model'!D68</f>
        <v>-2.7965658194100493E-3</v>
      </c>
      <c r="J68" s="42">
        <f>'VaR Model'!C68</f>
        <v>44662</v>
      </c>
      <c r="K68" s="71">
        <f>'VaR Model'!D68</f>
        <v>-2.7965658194100493E-3</v>
      </c>
      <c r="L68">
        <f>Backtesting!D68</f>
        <v>0</v>
      </c>
      <c r="M68" s="7">
        <f>Backtesting!F68</f>
        <v>0</v>
      </c>
    </row>
    <row r="69" spans="1:13" x14ac:dyDescent="0.35">
      <c r="A69" s="42">
        <f>'VaR Model'!C69</f>
        <v>44663</v>
      </c>
      <c r="B69" s="50">
        <f>'VaR Model'!D69</f>
        <v>-8.9763998213447053E-3</v>
      </c>
      <c r="J69" s="42">
        <f>'VaR Model'!C69</f>
        <v>44663</v>
      </c>
      <c r="K69" s="71">
        <f>'VaR Model'!D69</f>
        <v>-8.9763998213447053E-3</v>
      </c>
      <c r="L69">
        <f>Backtesting!D69</f>
        <v>0</v>
      </c>
      <c r="M69" s="7">
        <f>Backtesting!F69</f>
        <v>0</v>
      </c>
    </row>
    <row r="70" spans="1:13" x14ac:dyDescent="0.35">
      <c r="A70" s="42">
        <f>'VaR Model'!C70</f>
        <v>44664</v>
      </c>
      <c r="B70" s="50">
        <f>'VaR Model'!D70</f>
        <v>2.7410140723081663E-3</v>
      </c>
      <c r="J70" s="42">
        <f>'VaR Model'!C70</f>
        <v>44664</v>
      </c>
      <c r="K70" s="71">
        <f>'VaR Model'!D70</f>
        <v>2.7410140723081663E-3</v>
      </c>
      <c r="L70">
        <f>Backtesting!D70</f>
        <v>0</v>
      </c>
      <c r="M70" s="7">
        <f>Backtesting!F70</f>
        <v>0</v>
      </c>
    </row>
    <row r="71" spans="1:13" x14ac:dyDescent="0.35">
      <c r="A71" s="42">
        <f>'VaR Model'!C71</f>
        <v>44669</v>
      </c>
      <c r="B71" s="50">
        <f>'VaR Model'!D71</f>
        <v>-2.515053120280298E-2</v>
      </c>
      <c r="J71" s="42">
        <f>'VaR Model'!C71</f>
        <v>44669</v>
      </c>
      <c r="K71" s="71">
        <f>'VaR Model'!D71</f>
        <v>-2.515053120280298E-2</v>
      </c>
      <c r="L71">
        <f>Backtesting!D71</f>
        <v>1</v>
      </c>
      <c r="M71" s="7">
        <f>Backtesting!F71</f>
        <v>1</v>
      </c>
    </row>
    <row r="72" spans="1:13" x14ac:dyDescent="0.35">
      <c r="A72" s="42">
        <f>'VaR Model'!C72</f>
        <v>44670</v>
      </c>
      <c r="B72" s="50">
        <f>'VaR Model'!D72</f>
        <v>-6.1693501816840485E-3</v>
      </c>
      <c r="J72" s="42">
        <f>'VaR Model'!C72</f>
        <v>44670</v>
      </c>
      <c r="K72" s="71">
        <f>'VaR Model'!D72</f>
        <v>-6.1693501816840485E-3</v>
      </c>
      <c r="L72">
        <f>Backtesting!D72</f>
        <v>0</v>
      </c>
      <c r="M72" s="7">
        <f>Backtesting!F72</f>
        <v>0</v>
      </c>
    </row>
    <row r="73" spans="1:13" x14ac:dyDescent="0.35">
      <c r="A73" s="42">
        <f>'VaR Model'!C73</f>
        <v>44671</v>
      </c>
      <c r="B73" s="50">
        <f>'VaR Model'!D73</f>
        <v>9.5296948900604559E-3</v>
      </c>
      <c r="J73" s="42">
        <f>'VaR Model'!C73</f>
        <v>44671</v>
      </c>
      <c r="K73" s="71">
        <f>'VaR Model'!D73</f>
        <v>9.5296948900604559E-3</v>
      </c>
      <c r="L73">
        <f>Backtesting!D73</f>
        <v>0</v>
      </c>
      <c r="M73" s="7">
        <f>Backtesting!F73</f>
        <v>0</v>
      </c>
    </row>
    <row r="74" spans="1:13" x14ac:dyDescent="0.35">
      <c r="A74" s="42">
        <f>'VaR Model'!C74</f>
        <v>44672</v>
      </c>
      <c r="B74" s="50">
        <f>'VaR Model'!D74</f>
        <v>1.4955516813870761E-2</v>
      </c>
      <c r="J74" s="42">
        <f>'VaR Model'!C74</f>
        <v>44672</v>
      </c>
      <c r="K74" s="71">
        <f>'VaR Model'!D74</f>
        <v>1.4955516813870761E-2</v>
      </c>
      <c r="L74">
        <f>Backtesting!D74</f>
        <v>0</v>
      </c>
      <c r="M74" s="7">
        <f>Backtesting!F74</f>
        <v>0</v>
      </c>
    </row>
    <row r="75" spans="1:13" x14ac:dyDescent="0.35">
      <c r="A75" s="42">
        <f>'VaR Model'!C75</f>
        <v>44673</v>
      </c>
      <c r="B75" s="50">
        <f>'VaR Model'!D75</f>
        <v>-1.0092570845206044E-2</v>
      </c>
      <c r="J75" s="42">
        <f>'VaR Model'!C75</f>
        <v>44673</v>
      </c>
      <c r="K75" s="71">
        <f>'VaR Model'!D75</f>
        <v>-1.0092570845206044E-2</v>
      </c>
      <c r="L75">
        <f>Backtesting!D75</f>
        <v>0</v>
      </c>
      <c r="M75" s="7">
        <f>Backtesting!F75</f>
        <v>0</v>
      </c>
    </row>
    <row r="76" spans="1:13" x14ac:dyDescent="0.35">
      <c r="A76" s="42">
        <f>'VaR Model'!C76</f>
        <v>44676</v>
      </c>
      <c r="B76" s="50">
        <f>'VaR Model'!D76</f>
        <v>-1.4688160704234397E-2</v>
      </c>
      <c r="J76" s="42">
        <f>'VaR Model'!C76</f>
        <v>44676</v>
      </c>
      <c r="K76" s="71">
        <f>'VaR Model'!D76</f>
        <v>-1.4688160704234397E-2</v>
      </c>
      <c r="L76">
        <f>Backtesting!D76</f>
        <v>0</v>
      </c>
      <c r="M76" s="7">
        <f>Backtesting!F76</f>
        <v>0</v>
      </c>
    </row>
    <row r="77" spans="1:13" x14ac:dyDescent="0.35">
      <c r="A77" s="42">
        <f>'VaR Model'!C77</f>
        <v>44677</v>
      </c>
      <c r="B77" s="50">
        <f>'VaR Model'!D77</f>
        <v>1.1613696707311848E-2</v>
      </c>
      <c r="J77" s="42">
        <f>'VaR Model'!C77</f>
        <v>44677</v>
      </c>
      <c r="K77" s="71">
        <f>'VaR Model'!D77</f>
        <v>1.1613696707311848E-2</v>
      </c>
      <c r="L77">
        <f>Backtesting!D77</f>
        <v>0</v>
      </c>
      <c r="M77" s="7">
        <f>Backtesting!F77</f>
        <v>0</v>
      </c>
    </row>
    <row r="78" spans="1:13" x14ac:dyDescent="0.35">
      <c r="A78" s="42">
        <f>'VaR Model'!C78</f>
        <v>44678</v>
      </c>
      <c r="B78" s="50">
        <f>'VaR Model'!D78</f>
        <v>-8.2649118369464807E-3</v>
      </c>
      <c r="J78" s="42">
        <f>'VaR Model'!C78</f>
        <v>44678</v>
      </c>
      <c r="K78" s="71">
        <f>'VaR Model'!D78</f>
        <v>-8.2649118369464807E-3</v>
      </c>
      <c r="L78">
        <f>Backtesting!D78</f>
        <v>0</v>
      </c>
      <c r="M78" s="7">
        <f>Backtesting!F78</f>
        <v>0</v>
      </c>
    </row>
    <row r="79" spans="1:13" x14ac:dyDescent="0.35">
      <c r="A79" s="42">
        <f>'VaR Model'!C79</f>
        <v>44679</v>
      </c>
      <c r="B79" s="50">
        <f>'VaR Model'!D79</f>
        <v>1.3652802284129118E-2</v>
      </c>
      <c r="J79" s="42">
        <f>'VaR Model'!C79</f>
        <v>44679</v>
      </c>
      <c r="K79" s="71">
        <f>'VaR Model'!D79</f>
        <v>1.3652802284129118E-2</v>
      </c>
      <c r="L79">
        <f>Backtesting!D79</f>
        <v>0</v>
      </c>
      <c r="M79" s="7">
        <f>Backtesting!F79</f>
        <v>0</v>
      </c>
    </row>
    <row r="80" spans="1:13" x14ac:dyDescent="0.35">
      <c r="A80" s="42">
        <f>'VaR Model'!C80</f>
        <v>44680</v>
      </c>
      <c r="B80" s="50">
        <f>'VaR Model'!D80</f>
        <v>-8.3537324275223864E-3</v>
      </c>
      <c r="J80" s="42">
        <f>'VaR Model'!C80</f>
        <v>44680</v>
      </c>
      <c r="K80" s="71">
        <f>'VaR Model'!D80</f>
        <v>-8.3537324275223864E-3</v>
      </c>
      <c r="L80">
        <f>Backtesting!D80</f>
        <v>0</v>
      </c>
      <c r="M80" s="7">
        <f>Backtesting!F80</f>
        <v>0</v>
      </c>
    </row>
    <row r="81" spans="1:13" x14ac:dyDescent="0.35">
      <c r="A81" s="42">
        <f>'VaR Model'!C81</f>
        <v>44683</v>
      </c>
      <c r="B81" s="50">
        <f>'VaR Model'!D81</f>
        <v>-2.2278612884573568E-3</v>
      </c>
      <c r="J81" s="42">
        <f>'VaR Model'!C81</f>
        <v>44683</v>
      </c>
      <c r="K81" s="71">
        <f>'VaR Model'!D81</f>
        <v>-2.2278612884573568E-3</v>
      </c>
      <c r="L81">
        <f>Backtesting!D81</f>
        <v>0</v>
      </c>
      <c r="M81" s="7">
        <f>Backtesting!F81</f>
        <v>0</v>
      </c>
    </row>
    <row r="82" spans="1:13" x14ac:dyDescent="0.35">
      <c r="A82" s="42">
        <f>'VaR Model'!C82</f>
        <v>44685</v>
      </c>
      <c r="B82" s="50">
        <f>'VaR Model'!D82</f>
        <v>-1.7794044267419304E-2</v>
      </c>
      <c r="J82" s="42">
        <f>'VaR Model'!C82</f>
        <v>44685</v>
      </c>
      <c r="K82" s="71">
        <f>'VaR Model'!D82</f>
        <v>-1.7794044267419304E-2</v>
      </c>
      <c r="L82">
        <f>Backtesting!D82</f>
        <v>0</v>
      </c>
      <c r="M82" s="7">
        <f>Backtesting!F82</f>
        <v>1</v>
      </c>
    </row>
    <row r="83" spans="1:13" x14ac:dyDescent="0.35">
      <c r="A83" s="42">
        <f>'VaR Model'!C83</f>
        <v>44686</v>
      </c>
      <c r="B83" s="50">
        <f>'VaR Model'!D83</f>
        <v>7.3421816602942426E-3</v>
      </c>
      <c r="J83" s="42">
        <f>'VaR Model'!C83</f>
        <v>44686</v>
      </c>
      <c r="K83" s="71">
        <f>'VaR Model'!D83</f>
        <v>7.3421816602942426E-3</v>
      </c>
      <c r="L83">
        <f>Backtesting!D83</f>
        <v>0</v>
      </c>
      <c r="M83" s="7">
        <f>Backtesting!F83</f>
        <v>0</v>
      </c>
    </row>
    <row r="84" spans="1:13" x14ac:dyDescent="0.35">
      <c r="A84" s="42">
        <f>'VaR Model'!C84</f>
        <v>44687</v>
      </c>
      <c r="B84" s="50">
        <f>'VaR Model'!D84</f>
        <v>-1.0759663492589647E-2</v>
      </c>
      <c r="J84" s="42">
        <f>'VaR Model'!C84</f>
        <v>44687</v>
      </c>
      <c r="K84" s="71">
        <f>'VaR Model'!D84</f>
        <v>-1.0759663492589647E-2</v>
      </c>
      <c r="L84">
        <f>Backtesting!D84</f>
        <v>0</v>
      </c>
      <c r="M84" s="7">
        <f>Backtesting!F84</f>
        <v>0</v>
      </c>
    </row>
    <row r="85" spans="1:13" x14ac:dyDescent="0.35">
      <c r="A85" s="42">
        <f>'VaR Model'!C85</f>
        <v>44690</v>
      </c>
      <c r="B85" s="50">
        <f>'VaR Model'!D85</f>
        <v>-1.0220475659095837E-2</v>
      </c>
      <c r="J85" s="42">
        <f>'VaR Model'!C85</f>
        <v>44690</v>
      </c>
      <c r="K85" s="71">
        <f>'VaR Model'!D85</f>
        <v>-1.0220475659095837E-2</v>
      </c>
      <c r="L85">
        <f>Backtesting!D85</f>
        <v>0</v>
      </c>
      <c r="M85" s="7">
        <f>Backtesting!F85</f>
        <v>0</v>
      </c>
    </row>
    <row r="86" spans="1:13" x14ac:dyDescent="0.35">
      <c r="A86" s="42">
        <f>'VaR Model'!C86</f>
        <v>44691</v>
      </c>
      <c r="B86" s="50">
        <f>'VaR Model'!D86</f>
        <v>-7.040508549541415E-3</v>
      </c>
      <c r="J86" s="42">
        <f>'VaR Model'!C86</f>
        <v>44691</v>
      </c>
      <c r="K86" s="71">
        <f>'VaR Model'!D86</f>
        <v>-7.040508549541415E-3</v>
      </c>
      <c r="L86">
        <f>Backtesting!D86</f>
        <v>0</v>
      </c>
      <c r="M86" s="7">
        <f>Backtesting!F86</f>
        <v>0</v>
      </c>
    </row>
    <row r="87" spans="1:13" x14ac:dyDescent="0.35">
      <c r="A87" s="42">
        <f>'VaR Model'!C87</f>
        <v>44692</v>
      </c>
      <c r="B87" s="50">
        <f>'VaR Model'!D87</f>
        <v>-1.0623652906698937E-2</v>
      </c>
      <c r="J87" s="42">
        <f>'VaR Model'!C87</f>
        <v>44692</v>
      </c>
      <c r="K87" s="71">
        <f>'VaR Model'!D87</f>
        <v>-1.0623652906698937E-2</v>
      </c>
      <c r="L87">
        <f>Backtesting!D87</f>
        <v>0</v>
      </c>
      <c r="M87" s="7">
        <f>Backtesting!F87</f>
        <v>0</v>
      </c>
    </row>
    <row r="88" spans="1:13" x14ac:dyDescent="0.35">
      <c r="A88" s="42">
        <f>'VaR Model'!C88</f>
        <v>44693</v>
      </c>
      <c r="B88" s="50">
        <f>'VaR Model'!D88</f>
        <v>-1.4066889924457957E-2</v>
      </c>
      <c r="J88" s="42">
        <f>'VaR Model'!C88</f>
        <v>44693</v>
      </c>
      <c r="K88" s="71">
        <f>'VaR Model'!D88</f>
        <v>-1.4066889924457957E-2</v>
      </c>
      <c r="L88">
        <f>Backtesting!D88</f>
        <v>0</v>
      </c>
      <c r="M88" s="7">
        <f>Backtesting!F88</f>
        <v>0</v>
      </c>
    </row>
    <row r="89" spans="1:13" x14ac:dyDescent="0.35">
      <c r="A89" s="42">
        <f>'VaR Model'!C89</f>
        <v>44694</v>
      </c>
      <c r="B89" s="50">
        <f>'VaR Model'!D89</f>
        <v>2.3497109136569275E-3</v>
      </c>
      <c r="J89" s="42">
        <f>'VaR Model'!C89</f>
        <v>44694</v>
      </c>
      <c r="K89" s="71">
        <f>'VaR Model'!D89</f>
        <v>2.3497109136569275E-3</v>
      </c>
      <c r="L89">
        <f>Backtesting!D89</f>
        <v>0</v>
      </c>
      <c r="M89" s="7">
        <f>Backtesting!F89</f>
        <v>0</v>
      </c>
    </row>
    <row r="90" spans="1:13" x14ac:dyDescent="0.35">
      <c r="A90" s="42">
        <f>'VaR Model'!C90</f>
        <v>44697</v>
      </c>
      <c r="B90" s="50">
        <f>'VaR Model'!D90</f>
        <v>-6.0889371939862394E-3</v>
      </c>
      <c r="J90" s="42">
        <f>'VaR Model'!C90</f>
        <v>44697</v>
      </c>
      <c r="K90" s="71">
        <f>'VaR Model'!D90</f>
        <v>-6.0889371939862394E-3</v>
      </c>
      <c r="L90">
        <f>Backtesting!D90</f>
        <v>0</v>
      </c>
      <c r="M90" s="7">
        <f>Backtesting!F90</f>
        <v>0</v>
      </c>
    </row>
    <row r="91" spans="1:13" x14ac:dyDescent="0.35">
      <c r="A91" s="42">
        <f>'VaR Model'!C91</f>
        <v>44698</v>
      </c>
      <c r="B91" s="50">
        <f>'VaR Model'!D91</f>
        <v>3.1318643484871574E-2</v>
      </c>
      <c r="J91" s="42">
        <f>'VaR Model'!C91</f>
        <v>44698</v>
      </c>
      <c r="K91" s="71">
        <f>'VaR Model'!D91</f>
        <v>3.1318643484871574E-2</v>
      </c>
      <c r="L91">
        <f>Backtesting!D91</f>
        <v>0</v>
      </c>
      <c r="M91" s="7">
        <f>Backtesting!F91</f>
        <v>0</v>
      </c>
    </row>
    <row r="92" spans="1:13" x14ac:dyDescent="0.35">
      <c r="A92" s="42">
        <f>'VaR Model'!C92</f>
        <v>44699</v>
      </c>
      <c r="B92" s="50">
        <f>'VaR Model'!D92</f>
        <v>1.7306382297663432E-4</v>
      </c>
      <c r="J92" s="42">
        <f>'VaR Model'!C92</f>
        <v>44699</v>
      </c>
      <c r="K92" s="71">
        <f>'VaR Model'!D92</f>
        <v>1.7306382297663432E-4</v>
      </c>
      <c r="L92">
        <f>Backtesting!D92</f>
        <v>0</v>
      </c>
      <c r="M92" s="7">
        <f>Backtesting!F92</f>
        <v>0</v>
      </c>
    </row>
    <row r="93" spans="1:13" x14ac:dyDescent="0.35">
      <c r="A93" s="42">
        <f>'VaR Model'!C93</f>
        <v>44700</v>
      </c>
      <c r="B93" s="50">
        <f>'VaR Model'!D93</f>
        <v>-2.6565959175635923E-2</v>
      </c>
      <c r="J93" s="42">
        <f>'VaR Model'!C93</f>
        <v>44700</v>
      </c>
      <c r="K93" s="71">
        <f>'VaR Model'!D93</f>
        <v>-2.6565959175635923E-2</v>
      </c>
      <c r="L93">
        <f>Backtesting!D93</f>
        <v>1</v>
      </c>
      <c r="M93" s="7">
        <f>Backtesting!F93</f>
        <v>1</v>
      </c>
    </row>
    <row r="94" spans="1:13" x14ac:dyDescent="0.35">
      <c r="A94" s="42">
        <f>'VaR Model'!C94</f>
        <v>44701</v>
      </c>
      <c r="B94" s="50">
        <f>'VaR Model'!D94</f>
        <v>2.5752441503801987E-2</v>
      </c>
      <c r="J94" s="42">
        <f>'VaR Model'!C94</f>
        <v>44701</v>
      </c>
      <c r="K94" s="71">
        <f>'VaR Model'!D94</f>
        <v>2.5752441503801987E-2</v>
      </c>
      <c r="L94">
        <f>Backtesting!D94</f>
        <v>0</v>
      </c>
      <c r="M94" s="7">
        <f>Backtesting!F94</f>
        <v>0</v>
      </c>
    </row>
    <row r="95" spans="1:13" x14ac:dyDescent="0.35">
      <c r="A95" s="42">
        <f>'VaR Model'!C95</f>
        <v>44704</v>
      </c>
      <c r="B95" s="50">
        <f>'VaR Model'!D95</f>
        <v>-1.3384342112277821E-3</v>
      </c>
      <c r="J95" s="42">
        <f>'VaR Model'!C95</f>
        <v>44704</v>
      </c>
      <c r="K95" s="71">
        <f>'VaR Model'!D95</f>
        <v>-1.3384342112277821E-3</v>
      </c>
      <c r="L95">
        <f>Backtesting!D95</f>
        <v>0</v>
      </c>
      <c r="M95" s="7">
        <f>Backtesting!F95</f>
        <v>0</v>
      </c>
    </row>
    <row r="96" spans="1:13" x14ac:dyDescent="0.35">
      <c r="A96" s="42">
        <f>'VaR Model'!C96</f>
        <v>44705</v>
      </c>
      <c r="B96" s="50">
        <f>'VaR Model'!D96</f>
        <v>-8.6200760802657359E-3</v>
      </c>
      <c r="J96" s="42">
        <f>'VaR Model'!C96</f>
        <v>44705</v>
      </c>
      <c r="K96" s="71">
        <f>'VaR Model'!D96</f>
        <v>-8.6200760802657359E-3</v>
      </c>
      <c r="L96">
        <f>Backtesting!D96</f>
        <v>0</v>
      </c>
      <c r="M96" s="7">
        <f>Backtesting!F96</f>
        <v>0</v>
      </c>
    </row>
    <row r="97" spans="1:13" x14ac:dyDescent="0.35">
      <c r="A97" s="42">
        <f>'VaR Model'!C97</f>
        <v>44706</v>
      </c>
      <c r="B97" s="50">
        <f>'VaR Model'!D97</f>
        <v>-9.2130698110908515E-3</v>
      </c>
      <c r="J97" s="42">
        <f>'VaR Model'!C97</f>
        <v>44706</v>
      </c>
      <c r="K97" s="71">
        <f>'VaR Model'!D97</f>
        <v>-9.2130698110908515E-3</v>
      </c>
      <c r="L97">
        <f>Backtesting!D97</f>
        <v>0</v>
      </c>
      <c r="M97" s="7">
        <f>Backtesting!F97</f>
        <v>0</v>
      </c>
    </row>
    <row r="98" spans="1:13" x14ac:dyDescent="0.35">
      <c r="A98" s="42">
        <f>'VaR Model'!C98</f>
        <v>44707</v>
      </c>
      <c r="B98" s="50">
        <f>'VaR Model'!D98</f>
        <v>3.4547671767117781E-3</v>
      </c>
      <c r="J98" s="42">
        <f>'VaR Model'!C98</f>
        <v>44707</v>
      </c>
      <c r="K98" s="71">
        <f>'VaR Model'!D98</f>
        <v>3.4547671767117781E-3</v>
      </c>
      <c r="L98">
        <f>Backtesting!D98</f>
        <v>0</v>
      </c>
      <c r="M98" s="7">
        <f>Backtesting!F98</f>
        <v>0</v>
      </c>
    </row>
    <row r="99" spans="1:13" x14ac:dyDescent="0.35">
      <c r="A99" s="42">
        <f>'VaR Model'!C99</f>
        <v>44708</v>
      </c>
      <c r="B99" s="50">
        <f>'VaR Model'!D99</f>
        <v>1.1313461179714976E-2</v>
      </c>
      <c r="J99" s="42">
        <f>'VaR Model'!C99</f>
        <v>44708</v>
      </c>
      <c r="K99" s="71">
        <f>'VaR Model'!D99</f>
        <v>1.1313461179714976E-2</v>
      </c>
      <c r="L99">
        <f>Backtesting!D99</f>
        <v>0</v>
      </c>
      <c r="M99" s="7">
        <f>Backtesting!F99</f>
        <v>0</v>
      </c>
    </row>
    <row r="100" spans="1:13" x14ac:dyDescent="0.35">
      <c r="A100" s="42">
        <f>'VaR Model'!C100</f>
        <v>44711</v>
      </c>
      <c r="B100" s="50">
        <f>'VaR Model'!D100</f>
        <v>2.4705628385112508E-2</v>
      </c>
      <c r="J100" s="42">
        <f>'VaR Model'!C100</f>
        <v>44711</v>
      </c>
      <c r="K100" s="71">
        <f>'VaR Model'!D100</f>
        <v>2.4705628385112508E-2</v>
      </c>
      <c r="L100">
        <f>Backtesting!D100</f>
        <v>0</v>
      </c>
      <c r="M100" s="7">
        <f>Backtesting!F100</f>
        <v>0</v>
      </c>
    </row>
    <row r="101" spans="1:13" x14ac:dyDescent="0.35">
      <c r="A101" s="42">
        <f>'VaR Model'!C101</f>
        <v>44712</v>
      </c>
      <c r="B101" s="50">
        <f>'VaR Model'!D101</f>
        <v>-3.7916004612666204E-3</v>
      </c>
      <c r="J101" s="42">
        <f>'VaR Model'!C101</f>
        <v>44712</v>
      </c>
      <c r="K101" s="71">
        <f>'VaR Model'!D101</f>
        <v>-3.7916004612666204E-3</v>
      </c>
      <c r="L101">
        <f>Backtesting!D101</f>
        <v>0</v>
      </c>
      <c r="M101" s="7">
        <f>Backtesting!F101</f>
        <v>0</v>
      </c>
    </row>
    <row r="102" spans="1:13" x14ac:dyDescent="0.35">
      <c r="A102" s="42">
        <f>'VaR Model'!C102</f>
        <v>44713</v>
      </c>
      <c r="B102" s="50">
        <f>'VaR Model'!D102</f>
        <v>-3.0115235720826741E-3</v>
      </c>
      <c r="J102" s="42">
        <f>'VaR Model'!C102</f>
        <v>44713</v>
      </c>
      <c r="K102" s="71">
        <f>'VaR Model'!D102</f>
        <v>-3.0115235720826741E-3</v>
      </c>
      <c r="L102">
        <f>Backtesting!D102</f>
        <v>0</v>
      </c>
      <c r="M102" s="7">
        <f>Backtesting!F102</f>
        <v>0</v>
      </c>
    </row>
    <row r="103" spans="1:13" x14ac:dyDescent="0.35">
      <c r="A103" s="42">
        <f>'VaR Model'!C103</f>
        <v>44714</v>
      </c>
      <c r="B103" s="50">
        <f>'VaR Model'!D103</f>
        <v>1.5172038914528754E-2</v>
      </c>
      <c r="J103" s="42">
        <f>'VaR Model'!C103</f>
        <v>44714</v>
      </c>
      <c r="K103" s="71">
        <f>'VaR Model'!D103</f>
        <v>1.5172038914528754E-2</v>
      </c>
      <c r="L103">
        <f>Backtesting!D103</f>
        <v>0</v>
      </c>
      <c r="M103" s="7">
        <f>Backtesting!F103</f>
        <v>0</v>
      </c>
    </row>
    <row r="104" spans="1:13" x14ac:dyDescent="0.35">
      <c r="A104" s="42">
        <f>'VaR Model'!C104</f>
        <v>44715</v>
      </c>
      <c r="B104" s="50">
        <f>'VaR Model'!D104</f>
        <v>4.7716881506243503E-3</v>
      </c>
      <c r="J104" s="42">
        <f>'VaR Model'!C104</f>
        <v>44715</v>
      </c>
      <c r="K104" s="71">
        <f>'VaR Model'!D104</f>
        <v>4.7716881506243503E-3</v>
      </c>
      <c r="L104">
        <f>Backtesting!D104</f>
        <v>0</v>
      </c>
      <c r="M104" s="7">
        <f>Backtesting!F104</f>
        <v>0</v>
      </c>
    </row>
    <row r="105" spans="1:13" x14ac:dyDescent="0.35">
      <c r="A105" s="42">
        <f>'VaR Model'!C105</f>
        <v>44718</v>
      </c>
      <c r="B105" s="50">
        <f>'VaR Model'!D105</f>
        <v>1.8907778071975264E-3</v>
      </c>
      <c r="J105" s="42">
        <f>'VaR Model'!C105</f>
        <v>44718</v>
      </c>
      <c r="K105" s="71">
        <f>'VaR Model'!D105</f>
        <v>1.8907778071975264E-3</v>
      </c>
      <c r="L105">
        <f>Backtesting!D105</f>
        <v>0</v>
      </c>
      <c r="M105" s="7">
        <f>Backtesting!F105</f>
        <v>0</v>
      </c>
    </row>
    <row r="106" spans="1:13" x14ac:dyDescent="0.35">
      <c r="A106" s="42">
        <f>'VaR Model'!C106</f>
        <v>44719</v>
      </c>
      <c r="B106" s="50">
        <f>'VaR Model'!D106</f>
        <v>-1.0483167934117623E-2</v>
      </c>
      <c r="J106" s="42">
        <f>'VaR Model'!C106</f>
        <v>44719</v>
      </c>
      <c r="K106" s="71">
        <f>'VaR Model'!D106</f>
        <v>-1.0483167934117623E-2</v>
      </c>
      <c r="L106">
        <f>Backtesting!D106</f>
        <v>0</v>
      </c>
      <c r="M106" s="7">
        <f>Backtesting!F106</f>
        <v>0</v>
      </c>
    </row>
    <row r="107" spans="1:13" x14ac:dyDescent="0.35">
      <c r="A107" s="42">
        <f>'VaR Model'!C107</f>
        <v>44720</v>
      </c>
      <c r="B107" s="50">
        <f>'VaR Model'!D107</f>
        <v>-7.9827944713595379E-3</v>
      </c>
      <c r="J107" s="42">
        <f>'VaR Model'!C107</f>
        <v>44720</v>
      </c>
      <c r="K107" s="71">
        <f>'VaR Model'!D107</f>
        <v>-7.9827944713595379E-3</v>
      </c>
      <c r="L107">
        <f>Backtesting!D107</f>
        <v>0</v>
      </c>
      <c r="M107" s="7">
        <f>Backtesting!F107</f>
        <v>0</v>
      </c>
    </row>
    <row r="108" spans="1:13" x14ac:dyDescent="0.35">
      <c r="A108" s="42">
        <f>'VaR Model'!C108</f>
        <v>44721</v>
      </c>
      <c r="B108" s="50">
        <f>'VaR Model'!D108</f>
        <v>1.1823162677975937E-2</v>
      </c>
      <c r="J108" s="42">
        <f>'VaR Model'!C108</f>
        <v>44721</v>
      </c>
      <c r="K108" s="71">
        <f>'VaR Model'!D108</f>
        <v>1.1823162677975937E-2</v>
      </c>
      <c r="L108">
        <f>Backtesting!D108</f>
        <v>0</v>
      </c>
      <c r="M108" s="7">
        <f>Backtesting!F108</f>
        <v>0</v>
      </c>
    </row>
    <row r="109" spans="1:13" x14ac:dyDescent="0.35">
      <c r="A109" s="42">
        <f>'VaR Model'!C109</f>
        <v>44722</v>
      </c>
      <c r="B109" s="50">
        <f>'VaR Model'!D109</f>
        <v>-1.9224648029725549E-2</v>
      </c>
      <c r="J109" s="42">
        <f>'VaR Model'!C109</f>
        <v>44722</v>
      </c>
      <c r="K109" s="71">
        <f>'VaR Model'!D109</f>
        <v>-1.9224648029725549E-2</v>
      </c>
      <c r="L109">
        <f>Backtesting!D109</f>
        <v>0</v>
      </c>
      <c r="M109" s="7">
        <f>Backtesting!F109</f>
        <v>1</v>
      </c>
    </row>
    <row r="110" spans="1:13" x14ac:dyDescent="0.35">
      <c r="A110" s="42">
        <f>'VaR Model'!C110</f>
        <v>44725</v>
      </c>
      <c r="B110" s="50">
        <f>'VaR Model'!D110</f>
        <v>-3.2770338621898779E-2</v>
      </c>
      <c r="J110" s="42">
        <f>'VaR Model'!C110</f>
        <v>44725</v>
      </c>
      <c r="K110" s="71">
        <f>'VaR Model'!D110</f>
        <v>-3.2770338621898779E-2</v>
      </c>
      <c r="L110">
        <f>Backtesting!D110</f>
        <v>1</v>
      </c>
      <c r="M110" s="7">
        <f>Backtesting!F110</f>
        <v>1</v>
      </c>
    </row>
    <row r="111" spans="1:13" x14ac:dyDescent="0.35">
      <c r="A111" s="42">
        <f>'VaR Model'!C111</f>
        <v>44726</v>
      </c>
      <c r="B111" s="50">
        <f>'VaR Model'!D111</f>
        <v>-1.0743224136921981E-3</v>
      </c>
      <c r="J111" s="42">
        <f>'VaR Model'!C111</f>
        <v>44726</v>
      </c>
      <c r="K111" s="71">
        <f>'VaR Model'!D111</f>
        <v>-1.0743224136921981E-3</v>
      </c>
      <c r="L111">
        <f>Backtesting!D111</f>
        <v>0</v>
      </c>
      <c r="M111" s="7">
        <f>Backtesting!F111</f>
        <v>0</v>
      </c>
    </row>
    <row r="112" spans="1:13" x14ac:dyDescent="0.35">
      <c r="A112" s="42">
        <f>'VaR Model'!C112</f>
        <v>44727</v>
      </c>
      <c r="B112" s="50">
        <f>'VaR Model'!D112</f>
        <v>-6.3057833378127323E-3</v>
      </c>
      <c r="J112" s="42">
        <f>'VaR Model'!C112</f>
        <v>44727</v>
      </c>
      <c r="K112" s="71">
        <f>'VaR Model'!D112</f>
        <v>-6.3057833378127323E-3</v>
      </c>
      <c r="L112">
        <f>Backtesting!D112</f>
        <v>0</v>
      </c>
      <c r="M112" s="7">
        <f>Backtesting!F112</f>
        <v>0</v>
      </c>
    </row>
    <row r="113" spans="1:13" x14ac:dyDescent="0.35">
      <c r="A113" s="42">
        <f>'VaR Model'!C113</f>
        <v>44728</v>
      </c>
      <c r="B113" s="50">
        <f>'VaR Model'!D113</f>
        <v>-1.504343976328293E-2</v>
      </c>
      <c r="J113" s="42">
        <f>'VaR Model'!C113</f>
        <v>44728</v>
      </c>
      <c r="K113" s="71">
        <f>'VaR Model'!D113</f>
        <v>-1.504343976328293E-2</v>
      </c>
      <c r="L113">
        <f>Backtesting!D113</f>
        <v>0</v>
      </c>
      <c r="M113" s="7">
        <f>Backtesting!F113</f>
        <v>1</v>
      </c>
    </row>
    <row r="114" spans="1:13" x14ac:dyDescent="0.35">
      <c r="A114" s="42">
        <f>'VaR Model'!C114</f>
        <v>44729</v>
      </c>
      <c r="B114" s="50">
        <f>'VaR Model'!D114</f>
        <v>1.9356649078755429E-3</v>
      </c>
      <c r="J114" s="42">
        <f>'VaR Model'!C114</f>
        <v>44729</v>
      </c>
      <c r="K114" s="71">
        <f>'VaR Model'!D114</f>
        <v>1.9356649078755429E-3</v>
      </c>
      <c r="L114">
        <f>Backtesting!D114</f>
        <v>0</v>
      </c>
      <c r="M114" s="7">
        <f>Backtesting!F114</f>
        <v>0</v>
      </c>
    </row>
    <row r="115" spans="1:13" x14ac:dyDescent="0.35">
      <c r="A115" s="42">
        <f>'VaR Model'!C115</f>
        <v>44732</v>
      </c>
      <c r="B115" s="50">
        <f>'VaR Model'!D115</f>
        <v>2.0305247590924921E-3</v>
      </c>
      <c r="J115" s="42">
        <f>'VaR Model'!C115</f>
        <v>44732</v>
      </c>
      <c r="K115" s="71">
        <f>'VaR Model'!D115</f>
        <v>2.0305247590924921E-3</v>
      </c>
      <c r="L115">
        <f>Backtesting!D115</f>
        <v>0</v>
      </c>
      <c r="M115" s="7">
        <f>Backtesting!F115</f>
        <v>0</v>
      </c>
    </row>
    <row r="116" spans="1:13" x14ac:dyDescent="0.35">
      <c r="A116" s="42">
        <f>'VaR Model'!C116</f>
        <v>44733</v>
      </c>
      <c r="B116" s="50">
        <f>'VaR Model'!D116</f>
        <v>1.6844727396604076E-2</v>
      </c>
      <c r="J116" s="42">
        <f>'VaR Model'!C116</f>
        <v>44733</v>
      </c>
      <c r="K116" s="71">
        <f>'VaR Model'!D116</f>
        <v>1.6844727396604076E-2</v>
      </c>
      <c r="L116">
        <f>Backtesting!D116</f>
        <v>0</v>
      </c>
      <c r="M116" s="7">
        <f>Backtesting!F116</f>
        <v>0</v>
      </c>
    </row>
    <row r="117" spans="1:13" x14ac:dyDescent="0.35">
      <c r="A117" s="42">
        <f>'VaR Model'!C117</f>
        <v>44734</v>
      </c>
      <c r="B117" s="50">
        <f>'VaR Model'!D117</f>
        <v>-1.3423184801480619E-2</v>
      </c>
      <c r="J117" s="42">
        <f>'VaR Model'!C117</f>
        <v>44734</v>
      </c>
      <c r="K117" s="71">
        <f>'VaR Model'!D117</f>
        <v>-1.3423184801480619E-2</v>
      </c>
      <c r="L117">
        <f>Backtesting!D117</f>
        <v>0</v>
      </c>
      <c r="M117" s="7">
        <f>Backtesting!F117</f>
        <v>0</v>
      </c>
    </row>
    <row r="118" spans="1:13" x14ac:dyDescent="0.35">
      <c r="A118" s="42">
        <f>'VaR Model'!C118</f>
        <v>44735</v>
      </c>
      <c r="B118" s="50">
        <f>'VaR Model'!D118</f>
        <v>7.855263133190217E-3</v>
      </c>
      <c r="J118" s="42">
        <f>'VaR Model'!C118</f>
        <v>44735</v>
      </c>
      <c r="K118" s="71">
        <f>'VaR Model'!D118</f>
        <v>7.855263133190217E-3</v>
      </c>
      <c r="L118">
        <f>Backtesting!D118</f>
        <v>0</v>
      </c>
      <c r="M118" s="7">
        <f>Backtesting!F118</f>
        <v>0</v>
      </c>
    </row>
    <row r="119" spans="1:13" x14ac:dyDescent="0.35">
      <c r="A119" s="42">
        <f>'VaR Model'!C119</f>
        <v>44736</v>
      </c>
      <c r="B119" s="50">
        <f>'VaR Model'!D119</f>
        <v>4.6226843498282178E-3</v>
      </c>
      <c r="J119" s="42">
        <f>'VaR Model'!C119</f>
        <v>44736</v>
      </c>
      <c r="K119" s="71">
        <f>'VaR Model'!D119</f>
        <v>4.6226843498282178E-3</v>
      </c>
      <c r="L119">
        <f>Backtesting!D119</f>
        <v>0</v>
      </c>
      <c r="M119" s="7">
        <f>Backtesting!F119</f>
        <v>0</v>
      </c>
    </row>
    <row r="120" spans="1:13" x14ac:dyDescent="0.35">
      <c r="A120" s="42">
        <f>'VaR Model'!C120</f>
        <v>44739</v>
      </c>
      <c r="B120" s="50">
        <f>'VaR Model'!D120</f>
        <v>9.4670398465329965E-3</v>
      </c>
      <c r="J120" s="42">
        <f>'VaR Model'!C120</f>
        <v>44739</v>
      </c>
      <c r="K120" s="71">
        <f>'VaR Model'!D120</f>
        <v>9.4670398465329965E-3</v>
      </c>
      <c r="L120">
        <f>Backtesting!D120</f>
        <v>0</v>
      </c>
      <c r="M120" s="7">
        <f>Backtesting!F120</f>
        <v>0</v>
      </c>
    </row>
    <row r="121" spans="1:13" x14ac:dyDescent="0.35">
      <c r="A121" s="42">
        <f>'VaR Model'!C121</f>
        <v>44740</v>
      </c>
      <c r="B121" s="50">
        <f>'VaR Model'!D121</f>
        <v>3.1716847739428865E-3</v>
      </c>
      <c r="J121" s="42">
        <f>'VaR Model'!C121</f>
        <v>44740</v>
      </c>
      <c r="K121" s="71">
        <f>'VaR Model'!D121</f>
        <v>3.1716847739428865E-3</v>
      </c>
      <c r="L121">
        <f>Backtesting!D121</f>
        <v>0</v>
      </c>
      <c r="M121" s="7">
        <f>Backtesting!F121</f>
        <v>0</v>
      </c>
    </row>
    <row r="122" spans="1:13" x14ac:dyDescent="0.35">
      <c r="A122" s="42">
        <f>'VaR Model'!C122</f>
        <v>44741</v>
      </c>
      <c r="B122" s="50">
        <f>'VaR Model'!D122</f>
        <v>-3.840248821892153E-4</v>
      </c>
      <c r="J122" s="42">
        <f>'VaR Model'!C122</f>
        <v>44741</v>
      </c>
      <c r="K122" s="71">
        <f>'VaR Model'!D122</f>
        <v>-3.840248821892153E-4</v>
      </c>
      <c r="L122">
        <f>Backtesting!D122</f>
        <v>0</v>
      </c>
      <c r="M122" s="7">
        <f>Backtesting!F122</f>
        <v>0</v>
      </c>
    </row>
    <row r="123" spans="1:13" x14ac:dyDescent="0.35">
      <c r="A123" s="42">
        <f>'VaR Model'!C123</f>
        <v>44742</v>
      </c>
      <c r="B123" s="50">
        <f>'VaR Model'!D123</f>
        <v>4.5077733142486869E-4</v>
      </c>
      <c r="J123" s="42">
        <f>'VaR Model'!C123</f>
        <v>44742</v>
      </c>
      <c r="K123" s="71">
        <f>'VaR Model'!D123</f>
        <v>4.5077733142486869E-4</v>
      </c>
      <c r="L123">
        <f>Backtesting!D123</f>
        <v>0</v>
      </c>
      <c r="M123" s="7">
        <f>Backtesting!F123</f>
        <v>0</v>
      </c>
    </row>
    <row r="124" spans="1:13" x14ac:dyDescent="0.35">
      <c r="A124" s="42">
        <f>'VaR Model'!C124</f>
        <v>44743</v>
      </c>
      <c r="B124" s="50">
        <f>'VaR Model'!D124</f>
        <v>-2.8101758291153925E-3</v>
      </c>
      <c r="J124" s="42">
        <f>'VaR Model'!C124</f>
        <v>44743</v>
      </c>
      <c r="K124" s="71">
        <f>'VaR Model'!D124</f>
        <v>-2.8101758291153925E-3</v>
      </c>
      <c r="L124">
        <f>Backtesting!D124</f>
        <v>0</v>
      </c>
      <c r="M124" s="7">
        <f>Backtesting!F124</f>
        <v>0</v>
      </c>
    </row>
    <row r="125" spans="1:13" x14ac:dyDescent="0.35">
      <c r="A125" s="42">
        <f>'VaR Model'!C125</f>
        <v>44746</v>
      </c>
      <c r="B125" s="50">
        <f>'VaR Model'!D125</f>
        <v>6.4742880605659515E-3</v>
      </c>
      <c r="J125" s="42">
        <f>'VaR Model'!C125</f>
        <v>44746</v>
      </c>
      <c r="K125" s="71">
        <f>'VaR Model'!D125</f>
        <v>6.4742880605659515E-3</v>
      </c>
      <c r="L125">
        <f>Backtesting!D125</f>
        <v>0</v>
      </c>
      <c r="M125" s="7">
        <f>Backtesting!F125</f>
        <v>0</v>
      </c>
    </row>
    <row r="126" spans="1:13" x14ac:dyDescent="0.35">
      <c r="A126" s="42">
        <f>'VaR Model'!C126</f>
        <v>44747</v>
      </c>
      <c r="B126" s="50">
        <f>'VaR Model'!D126</f>
        <v>-4.8122169449855562E-3</v>
      </c>
      <c r="J126" s="42">
        <f>'VaR Model'!C126</f>
        <v>44747</v>
      </c>
      <c r="K126" s="71">
        <f>'VaR Model'!D126</f>
        <v>-4.8122169449855562E-3</v>
      </c>
      <c r="L126">
        <f>Backtesting!D126</f>
        <v>0</v>
      </c>
      <c r="M126" s="7">
        <f>Backtesting!F126</f>
        <v>0</v>
      </c>
    </row>
    <row r="127" spans="1:13" x14ac:dyDescent="0.35">
      <c r="A127" s="42">
        <f>'VaR Model'!C127</f>
        <v>44748</v>
      </c>
      <c r="B127" s="50">
        <f>'VaR Model'!D127</f>
        <v>6.5628384267312047E-3</v>
      </c>
      <c r="J127" s="42">
        <f>'VaR Model'!C127</f>
        <v>44748</v>
      </c>
      <c r="K127" s="71">
        <f>'VaR Model'!D127</f>
        <v>6.5628384267312047E-3</v>
      </c>
      <c r="L127">
        <f>Backtesting!D127</f>
        <v>0</v>
      </c>
      <c r="M127" s="7">
        <f>Backtesting!F127</f>
        <v>0</v>
      </c>
    </row>
    <row r="128" spans="1:13" x14ac:dyDescent="0.35">
      <c r="A128" s="42">
        <f>'VaR Model'!C128</f>
        <v>44749</v>
      </c>
      <c r="B128" s="50">
        <f>'VaR Model'!D128</f>
        <v>6.8139572853934509E-3</v>
      </c>
      <c r="J128" s="42">
        <f>'VaR Model'!C128</f>
        <v>44749</v>
      </c>
      <c r="K128" s="71">
        <f>'VaR Model'!D128</f>
        <v>6.8139572853934509E-3</v>
      </c>
      <c r="L128">
        <f>Backtesting!D128</f>
        <v>0</v>
      </c>
      <c r="M128" s="7">
        <f>Backtesting!F128</f>
        <v>0</v>
      </c>
    </row>
    <row r="129" spans="1:13" x14ac:dyDescent="0.35">
      <c r="A129" s="42">
        <f>'VaR Model'!C129</f>
        <v>44750</v>
      </c>
      <c r="B129" s="50">
        <f>'VaR Model'!D129</f>
        <v>5.4159900005308521E-3</v>
      </c>
      <c r="J129" s="42">
        <f>'VaR Model'!C129</f>
        <v>44750</v>
      </c>
      <c r="K129" s="71">
        <f>'VaR Model'!D129</f>
        <v>5.4159900005308521E-3</v>
      </c>
      <c r="L129">
        <f>Backtesting!D129</f>
        <v>0</v>
      </c>
      <c r="M129" s="7">
        <f>Backtesting!F129</f>
        <v>0</v>
      </c>
    </row>
    <row r="130" spans="1:13" x14ac:dyDescent="0.35">
      <c r="A130" s="42">
        <f>'VaR Model'!C130</f>
        <v>44753</v>
      </c>
      <c r="B130" s="50">
        <f>'VaR Model'!D130</f>
        <v>-7.4017688426814537E-3</v>
      </c>
      <c r="J130" s="42">
        <f>'VaR Model'!C130</f>
        <v>44753</v>
      </c>
      <c r="K130" s="71">
        <f>'VaR Model'!D130</f>
        <v>-7.4017688426814537E-3</v>
      </c>
      <c r="L130">
        <f>Backtesting!D130</f>
        <v>0</v>
      </c>
      <c r="M130" s="7">
        <f>Backtesting!F130</f>
        <v>0</v>
      </c>
    </row>
    <row r="131" spans="1:13" x14ac:dyDescent="0.35">
      <c r="A131" s="42">
        <f>'VaR Model'!C131</f>
        <v>44754</v>
      </c>
      <c r="B131" s="50">
        <f>'VaR Model'!D131</f>
        <v>-1.098126590843415E-2</v>
      </c>
      <c r="J131" s="42">
        <f>'VaR Model'!C131</f>
        <v>44754</v>
      </c>
      <c r="K131" s="71">
        <f>'VaR Model'!D131</f>
        <v>-1.098126590843415E-2</v>
      </c>
      <c r="L131">
        <f>Backtesting!D131</f>
        <v>0</v>
      </c>
      <c r="M131" s="7">
        <f>Backtesting!F131</f>
        <v>0</v>
      </c>
    </row>
    <row r="132" spans="1:13" x14ac:dyDescent="0.35">
      <c r="A132" s="42">
        <f>'VaR Model'!C132</f>
        <v>44755</v>
      </c>
      <c r="B132" s="50">
        <f>'VaR Model'!D132</f>
        <v>-6.6190119987416971E-3</v>
      </c>
      <c r="J132" s="42">
        <f>'VaR Model'!C132</f>
        <v>44755</v>
      </c>
      <c r="K132" s="71">
        <f>'VaR Model'!D132</f>
        <v>-6.6190119987416971E-3</v>
      </c>
      <c r="L132">
        <f>Backtesting!D132</f>
        <v>0</v>
      </c>
      <c r="M132" s="7">
        <f>Backtesting!F132</f>
        <v>0</v>
      </c>
    </row>
    <row r="133" spans="1:13" x14ac:dyDescent="0.35">
      <c r="A133" s="42">
        <f>'VaR Model'!C133</f>
        <v>44756</v>
      </c>
      <c r="B133" s="50">
        <f>'VaR Model'!D133</f>
        <v>-5.5793263113214659E-3</v>
      </c>
      <c r="J133" s="42">
        <f>'VaR Model'!C133</f>
        <v>44756</v>
      </c>
      <c r="K133" s="71">
        <f>'VaR Model'!D133</f>
        <v>-5.5793263113214659E-3</v>
      </c>
      <c r="L133">
        <f>Backtesting!D133</f>
        <v>0</v>
      </c>
      <c r="M133" s="7">
        <f>Backtesting!F133</f>
        <v>0</v>
      </c>
    </row>
    <row r="134" spans="1:13" x14ac:dyDescent="0.35">
      <c r="A134" s="42">
        <f>'VaR Model'!C134</f>
        <v>44757</v>
      </c>
      <c r="B134" s="50">
        <f>'VaR Model'!D134</f>
        <v>1.8464606652114741E-3</v>
      </c>
      <c r="J134" s="42">
        <f>'VaR Model'!C134</f>
        <v>44757</v>
      </c>
      <c r="K134" s="71">
        <f>'VaR Model'!D134</f>
        <v>1.8464606652114741E-3</v>
      </c>
      <c r="L134">
        <f>Backtesting!D134</f>
        <v>0</v>
      </c>
      <c r="M134" s="7">
        <f>Backtesting!F134</f>
        <v>0</v>
      </c>
    </row>
    <row r="135" spans="1:13" x14ac:dyDescent="0.35">
      <c r="A135" s="42">
        <f>'VaR Model'!C135</f>
        <v>44760</v>
      </c>
      <c r="B135" s="50">
        <f>'VaR Model'!D135</f>
        <v>2.1054868696676138E-2</v>
      </c>
      <c r="J135" s="42">
        <f>'VaR Model'!C135</f>
        <v>44760</v>
      </c>
      <c r="K135" s="71">
        <f>'VaR Model'!D135</f>
        <v>2.1054868696676138E-2</v>
      </c>
      <c r="L135">
        <f>Backtesting!D135</f>
        <v>0</v>
      </c>
      <c r="M135" s="7">
        <f>Backtesting!F135</f>
        <v>0</v>
      </c>
    </row>
    <row r="136" spans="1:13" x14ac:dyDescent="0.35">
      <c r="A136" s="42">
        <f>'VaR Model'!C136</f>
        <v>44761</v>
      </c>
      <c r="B136" s="50">
        <f>'VaR Model'!D136</f>
        <v>2.9070095203177948E-3</v>
      </c>
      <c r="J136" s="42">
        <f>'VaR Model'!C136</f>
        <v>44761</v>
      </c>
      <c r="K136" s="71">
        <f>'VaR Model'!D136</f>
        <v>2.9070095203177948E-3</v>
      </c>
      <c r="L136">
        <f>Backtesting!D136</f>
        <v>0</v>
      </c>
      <c r="M136" s="7">
        <f>Backtesting!F136</f>
        <v>0</v>
      </c>
    </row>
    <row r="137" spans="1:13" x14ac:dyDescent="0.35">
      <c r="A137" s="42">
        <f>'VaR Model'!C137</f>
        <v>44762</v>
      </c>
      <c r="B137" s="50">
        <f>'VaR Model'!D137</f>
        <v>1.8348233427048232E-2</v>
      </c>
      <c r="J137" s="42">
        <f>'VaR Model'!C137</f>
        <v>44762</v>
      </c>
      <c r="K137" s="71">
        <f>'VaR Model'!D137</f>
        <v>1.8348233427048232E-2</v>
      </c>
      <c r="L137">
        <f>Backtesting!D137</f>
        <v>0</v>
      </c>
      <c r="M137" s="7">
        <f>Backtesting!F137</f>
        <v>0</v>
      </c>
    </row>
    <row r="138" spans="1:13" x14ac:dyDescent="0.35">
      <c r="A138" s="42">
        <f>'VaR Model'!C138</f>
        <v>44763</v>
      </c>
      <c r="B138" s="50">
        <f>'VaR Model'!D138</f>
        <v>3.4051494331018045E-3</v>
      </c>
      <c r="J138" s="42">
        <f>'VaR Model'!C138</f>
        <v>44763</v>
      </c>
      <c r="K138" s="71">
        <f>'VaR Model'!D138</f>
        <v>3.4051494331018045E-3</v>
      </c>
      <c r="L138">
        <f>Backtesting!D138</f>
        <v>0</v>
      </c>
      <c r="M138" s="7">
        <f>Backtesting!F138</f>
        <v>0</v>
      </c>
    </row>
    <row r="139" spans="1:13" x14ac:dyDescent="0.35">
      <c r="A139" s="42">
        <f>'VaR Model'!C139</f>
        <v>44764</v>
      </c>
      <c r="B139" s="50">
        <f>'VaR Model'!D139</f>
        <v>1.6575791538937803E-3</v>
      </c>
      <c r="J139" s="42">
        <f>'VaR Model'!C139</f>
        <v>44764</v>
      </c>
      <c r="K139" s="71">
        <f>'VaR Model'!D139</f>
        <v>1.6575791538937803E-3</v>
      </c>
      <c r="L139">
        <f>Backtesting!D139</f>
        <v>0</v>
      </c>
      <c r="M139" s="7">
        <f>Backtesting!F139</f>
        <v>0</v>
      </c>
    </row>
    <row r="140" spans="1:13" x14ac:dyDescent="0.35">
      <c r="A140" s="42">
        <f>'VaR Model'!C140</f>
        <v>44767</v>
      </c>
      <c r="B140" s="50">
        <f>'VaR Model'!D140</f>
        <v>-6.7671236631681357E-3</v>
      </c>
      <c r="J140" s="42">
        <f>'VaR Model'!C140</f>
        <v>44767</v>
      </c>
      <c r="K140" s="71">
        <f>'VaR Model'!D140</f>
        <v>-6.7671236631681357E-3</v>
      </c>
      <c r="L140">
        <f>Backtesting!D140</f>
        <v>0</v>
      </c>
      <c r="M140" s="7">
        <f>Backtesting!F140</f>
        <v>0</v>
      </c>
    </row>
    <row r="141" spans="1:13" x14ac:dyDescent="0.35">
      <c r="A141" s="42">
        <f>'VaR Model'!C141</f>
        <v>44768</v>
      </c>
      <c r="B141" s="50">
        <f>'VaR Model'!D141</f>
        <v>-1.0505357335647034E-2</v>
      </c>
      <c r="J141" s="42">
        <f>'VaR Model'!C141</f>
        <v>44768</v>
      </c>
      <c r="K141" s="71">
        <f>'VaR Model'!D141</f>
        <v>-1.0505357335647034E-2</v>
      </c>
      <c r="L141">
        <f>Backtesting!D141</f>
        <v>0</v>
      </c>
      <c r="M141" s="7">
        <f>Backtesting!F141</f>
        <v>0</v>
      </c>
    </row>
    <row r="142" spans="1:13" x14ac:dyDescent="0.35">
      <c r="A142" s="42">
        <f>'VaR Model'!C142</f>
        <v>44769</v>
      </c>
      <c r="B142" s="50">
        <f>'VaR Model'!D142</f>
        <v>9.3366208116383125E-3</v>
      </c>
      <c r="J142" s="42">
        <f>'VaR Model'!C142</f>
        <v>44769</v>
      </c>
      <c r="K142" s="71">
        <f>'VaR Model'!D142</f>
        <v>9.3366208116383125E-3</v>
      </c>
      <c r="L142">
        <f>Backtesting!D142</f>
        <v>0</v>
      </c>
      <c r="M142" s="7">
        <f>Backtesting!F142</f>
        <v>0</v>
      </c>
    </row>
    <row r="143" spans="1:13" x14ac:dyDescent="0.35">
      <c r="A143" s="42">
        <f>'VaR Model'!C143</f>
        <v>44770</v>
      </c>
      <c r="B143" s="50">
        <f>'VaR Model'!D143</f>
        <v>1.6785510074679839E-2</v>
      </c>
      <c r="J143" s="42">
        <f>'VaR Model'!C143</f>
        <v>44770</v>
      </c>
      <c r="K143" s="71">
        <f>'VaR Model'!D143</f>
        <v>1.6785510074679839E-2</v>
      </c>
      <c r="L143">
        <f>Backtesting!D143</f>
        <v>0</v>
      </c>
      <c r="M143" s="7">
        <f>Backtesting!F143</f>
        <v>0</v>
      </c>
    </row>
    <row r="144" spans="1:13" x14ac:dyDescent="0.35">
      <c r="A144" s="42">
        <f>'VaR Model'!C144</f>
        <v>44771</v>
      </c>
      <c r="B144" s="50">
        <f>'VaR Model'!D144</f>
        <v>1.1666204413095441E-2</v>
      </c>
      <c r="J144" s="42">
        <f>'VaR Model'!C144</f>
        <v>44771</v>
      </c>
      <c r="K144" s="71">
        <f>'VaR Model'!D144</f>
        <v>1.1666204413095441E-2</v>
      </c>
      <c r="L144">
        <f>Backtesting!D144</f>
        <v>0</v>
      </c>
      <c r="M144" s="7">
        <f>Backtesting!F144</f>
        <v>0</v>
      </c>
    </row>
    <row r="145" spans="1:13" x14ac:dyDescent="0.35">
      <c r="A145" s="42">
        <f>'VaR Model'!C145</f>
        <v>44774</v>
      </c>
      <c r="B145" s="50">
        <f>'VaR Model'!D145</f>
        <v>9.2212461574757033E-3</v>
      </c>
      <c r="J145" s="42">
        <f>'VaR Model'!C145</f>
        <v>44774</v>
      </c>
      <c r="K145" s="71">
        <f>'VaR Model'!D145</f>
        <v>9.2212461574757033E-3</v>
      </c>
      <c r="L145">
        <f>Backtesting!D145</f>
        <v>0</v>
      </c>
      <c r="M145" s="7">
        <f>Backtesting!F145</f>
        <v>0</v>
      </c>
    </row>
    <row r="146" spans="1:13" x14ac:dyDescent="0.35">
      <c r="A146" s="42">
        <f>'VaR Model'!C146</f>
        <v>44775</v>
      </c>
      <c r="B146" s="50">
        <f>'VaR Model'!D146</f>
        <v>-4.2121584398823061E-4</v>
      </c>
      <c r="J146" s="42">
        <f>'VaR Model'!C146</f>
        <v>44775</v>
      </c>
      <c r="K146" s="71">
        <f>'VaR Model'!D146</f>
        <v>-4.2121584398823061E-4</v>
      </c>
      <c r="L146">
        <f>Backtesting!D146</f>
        <v>0</v>
      </c>
      <c r="M146" s="7">
        <f>Backtesting!F146</f>
        <v>0</v>
      </c>
    </row>
    <row r="147" spans="1:13" x14ac:dyDescent="0.35">
      <c r="A147" s="42">
        <f>'VaR Model'!C147</f>
        <v>44776</v>
      </c>
      <c r="B147" s="50">
        <f>'VaR Model'!D147</f>
        <v>7.9946001481341084E-3</v>
      </c>
      <c r="J147" s="42">
        <f>'VaR Model'!C147</f>
        <v>44776</v>
      </c>
      <c r="K147" s="71">
        <f>'VaR Model'!D147</f>
        <v>7.9946001481341084E-3</v>
      </c>
      <c r="L147">
        <f>Backtesting!D147</f>
        <v>0</v>
      </c>
      <c r="M147" s="7">
        <f>Backtesting!F147</f>
        <v>0</v>
      </c>
    </row>
    <row r="148" spans="1:13" x14ac:dyDescent="0.35">
      <c r="A148" s="42">
        <f>'VaR Model'!C148</f>
        <v>44777</v>
      </c>
      <c r="B148" s="50">
        <f>'VaR Model'!D148</f>
        <v>2.3058099648897205E-3</v>
      </c>
      <c r="J148" s="42">
        <f>'VaR Model'!C148</f>
        <v>44777</v>
      </c>
      <c r="K148" s="71">
        <f>'VaR Model'!D148</f>
        <v>2.3058099648897205E-3</v>
      </c>
      <c r="L148">
        <f>Backtesting!D148</f>
        <v>0</v>
      </c>
      <c r="M148" s="7">
        <f>Backtesting!F148</f>
        <v>0</v>
      </c>
    </row>
    <row r="149" spans="1:13" x14ac:dyDescent="0.35">
      <c r="A149" s="42">
        <f>'VaR Model'!C149</f>
        <v>44778</v>
      </c>
      <c r="B149" s="50">
        <f>'VaR Model'!D149</f>
        <v>4.9148045205640719E-3</v>
      </c>
      <c r="J149" s="42">
        <f>'VaR Model'!C149</f>
        <v>44778</v>
      </c>
      <c r="K149" s="71">
        <f>'VaR Model'!D149</f>
        <v>4.9148045205640719E-3</v>
      </c>
      <c r="L149">
        <f>Backtesting!D149</f>
        <v>0</v>
      </c>
      <c r="M149" s="7">
        <f>Backtesting!F149</f>
        <v>0</v>
      </c>
    </row>
    <row r="150" spans="1:13" x14ac:dyDescent="0.35">
      <c r="A150" s="42">
        <f>'VaR Model'!C150</f>
        <v>44781</v>
      </c>
      <c r="B150" s="50">
        <f>'VaR Model'!D150</f>
        <v>4.6690974479936722E-3</v>
      </c>
      <c r="J150" s="42">
        <f>'VaR Model'!C150</f>
        <v>44781</v>
      </c>
      <c r="K150" s="71">
        <f>'VaR Model'!D150</f>
        <v>4.6690974479936722E-3</v>
      </c>
      <c r="L150">
        <f>Backtesting!D150</f>
        <v>0</v>
      </c>
      <c r="M150" s="7">
        <f>Backtesting!F150</f>
        <v>0</v>
      </c>
    </row>
    <row r="151" spans="1:13" x14ac:dyDescent="0.35">
      <c r="A151" s="42">
        <f>'VaR Model'!C151</f>
        <v>44783</v>
      </c>
      <c r="B151" s="50">
        <f>'VaR Model'!D151</f>
        <v>-5.5780554796187052E-4</v>
      </c>
      <c r="J151" s="42">
        <f>'VaR Model'!C151</f>
        <v>44783</v>
      </c>
      <c r="K151" s="71">
        <f>'VaR Model'!D151</f>
        <v>-5.5780554796187052E-4</v>
      </c>
      <c r="L151">
        <f>Backtesting!D151</f>
        <v>0</v>
      </c>
      <c r="M151" s="7">
        <f>Backtesting!F151</f>
        <v>0</v>
      </c>
    </row>
    <row r="152" spans="1:13" x14ac:dyDescent="0.35">
      <c r="A152" s="42">
        <f>'VaR Model'!C152</f>
        <v>44784</v>
      </c>
      <c r="B152" s="50">
        <f>'VaR Model'!D152</f>
        <v>6.2236893559046453E-3</v>
      </c>
      <c r="J152" s="42">
        <f>'VaR Model'!C152</f>
        <v>44784</v>
      </c>
      <c r="K152" s="71">
        <f>'VaR Model'!D152</f>
        <v>6.2236893559046453E-3</v>
      </c>
      <c r="L152">
        <f>Backtesting!D152</f>
        <v>0</v>
      </c>
      <c r="M152" s="7">
        <f>Backtesting!F152</f>
        <v>0</v>
      </c>
    </row>
    <row r="153" spans="1:13" x14ac:dyDescent="0.35">
      <c r="A153" s="42">
        <f>'VaR Model'!C153</f>
        <v>44785</v>
      </c>
      <c r="B153" s="50">
        <f>'VaR Model'!D153</f>
        <v>3.6471590354350586E-3</v>
      </c>
      <c r="J153" s="42">
        <f>'VaR Model'!C153</f>
        <v>44785</v>
      </c>
      <c r="K153" s="71">
        <f>'VaR Model'!D153</f>
        <v>3.6471590354350586E-3</v>
      </c>
      <c r="L153">
        <f>Backtesting!D153</f>
        <v>0</v>
      </c>
      <c r="M153" s="7">
        <f>Backtesting!F153</f>
        <v>0</v>
      </c>
    </row>
    <row r="154" spans="1:13" x14ac:dyDescent="0.35">
      <c r="A154" s="42">
        <f>'VaR Model'!C154</f>
        <v>44789</v>
      </c>
      <c r="B154" s="50">
        <f>'VaR Model'!D154</f>
        <v>3.5564015588010539E-3</v>
      </c>
      <c r="J154" s="42">
        <f>'VaR Model'!C154</f>
        <v>44789</v>
      </c>
      <c r="K154" s="71">
        <f>'VaR Model'!D154</f>
        <v>3.5564015588010539E-3</v>
      </c>
      <c r="L154">
        <f>Backtesting!D154</f>
        <v>0</v>
      </c>
      <c r="M154" s="7">
        <f>Backtesting!F154</f>
        <v>0</v>
      </c>
    </row>
    <row r="155" spans="1:13" x14ac:dyDescent="0.35">
      <c r="A155" s="42">
        <f>'VaR Model'!C155</f>
        <v>44790</v>
      </c>
      <c r="B155" s="50">
        <f>'VaR Model'!D155</f>
        <v>4.9551581217769083E-3</v>
      </c>
      <c r="J155" s="42">
        <f>'VaR Model'!C155</f>
        <v>44790</v>
      </c>
      <c r="K155" s="71">
        <f>'VaR Model'!D155</f>
        <v>4.9551581217769083E-3</v>
      </c>
      <c r="L155">
        <f>Backtesting!D155</f>
        <v>0</v>
      </c>
      <c r="M155" s="7">
        <f>Backtesting!F155</f>
        <v>0</v>
      </c>
    </row>
    <row r="156" spans="1:13" x14ac:dyDescent="0.35">
      <c r="A156" s="42">
        <f>'VaR Model'!C156</f>
        <v>44791</v>
      </c>
      <c r="B156" s="50">
        <f>'VaR Model'!D156</f>
        <v>-1.9912165148864127E-3</v>
      </c>
      <c r="J156" s="42">
        <f>'VaR Model'!C156</f>
        <v>44791</v>
      </c>
      <c r="K156" s="71">
        <f>'VaR Model'!D156</f>
        <v>-1.9912165148864127E-3</v>
      </c>
      <c r="L156">
        <f>Backtesting!D156</f>
        <v>0</v>
      </c>
      <c r="M156" s="7">
        <f>Backtesting!F156</f>
        <v>0</v>
      </c>
    </row>
    <row r="157" spans="1:13" x14ac:dyDescent="0.35">
      <c r="A157" s="42">
        <f>'VaR Model'!C157</f>
        <v>44792</v>
      </c>
      <c r="B157" s="50">
        <f>'VaR Model'!D157</f>
        <v>-7.2297459229677761E-3</v>
      </c>
      <c r="J157" s="42">
        <f>'VaR Model'!C157</f>
        <v>44792</v>
      </c>
      <c r="K157" s="71">
        <f>'VaR Model'!D157</f>
        <v>-7.2297459229677761E-3</v>
      </c>
      <c r="L157">
        <f>Backtesting!D157</f>
        <v>0</v>
      </c>
      <c r="M157" s="7">
        <f>Backtesting!F157</f>
        <v>0</v>
      </c>
    </row>
    <row r="158" spans="1:13" x14ac:dyDescent="0.35">
      <c r="A158" s="42">
        <f>'VaR Model'!C158</f>
        <v>44795</v>
      </c>
      <c r="B158" s="50">
        <f>'VaR Model'!D158</f>
        <v>-7.790298321685046E-3</v>
      </c>
      <c r="J158" s="42">
        <f>'VaR Model'!C158</f>
        <v>44795</v>
      </c>
      <c r="K158" s="71">
        <f>'VaR Model'!D158</f>
        <v>-7.790298321685046E-3</v>
      </c>
      <c r="L158">
        <f>Backtesting!D158</f>
        <v>0</v>
      </c>
      <c r="M158" s="7">
        <f>Backtesting!F158</f>
        <v>0</v>
      </c>
    </row>
    <row r="159" spans="1:13" x14ac:dyDescent="0.35">
      <c r="A159" s="42">
        <f>'VaR Model'!C159</f>
        <v>44796</v>
      </c>
      <c r="B159" s="50">
        <f>'VaR Model'!D159</f>
        <v>-1.7513179741919546E-3</v>
      </c>
      <c r="J159" s="42">
        <f>'VaR Model'!C159</f>
        <v>44796</v>
      </c>
      <c r="K159" s="71">
        <f>'VaR Model'!D159</f>
        <v>-1.7513179741919546E-3</v>
      </c>
      <c r="L159">
        <f>Backtesting!D159</f>
        <v>0</v>
      </c>
      <c r="M159" s="7">
        <f>Backtesting!F159</f>
        <v>0</v>
      </c>
    </row>
    <row r="160" spans="1:13" x14ac:dyDescent="0.35">
      <c r="A160" s="42">
        <f>'VaR Model'!C160</f>
        <v>44797</v>
      </c>
      <c r="B160" s="50">
        <f>'VaR Model'!D160</f>
        <v>-1.9390326977647232E-3</v>
      </c>
      <c r="J160" s="42">
        <f>'VaR Model'!C160</f>
        <v>44797</v>
      </c>
      <c r="K160" s="71">
        <f>'VaR Model'!D160</f>
        <v>-1.9390326977647232E-3</v>
      </c>
      <c r="L160">
        <f>Backtesting!D160</f>
        <v>0</v>
      </c>
      <c r="M160" s="7">
        <f>Backtesting!F160</f>
        <v>0</v>
      </c>
    </row>
    <row r="161" spans="1:13" x14ac:dyDescent="0.35">
      <c r="A161" s="42">
        <f>'VaR Model'!C161</f>
        <v>44798</v>
      </c>
      <c r="B161" s="50">
        <f>'VaR Model'!D161</f>
        <v>-6.7469867247984417E-3</v>
      </c>
      <c r="J161" s="42">
        <f>'VaR Model'!C161</f>
        <v>44798</v>
      </c>
      <c r="K161" s="71">
        <f>'VaR Model'!D161</f>
        <v>-6.7469867247984417E-3</v>
      </c>
      <c r="L161">
        <f>Backtesting!D161</f>
        <v>0</v>
      </c>
      <c r="M161" s="7">
        <f>Backtesting!F161</f>
        <v>0</v>
      </c>
    </row>
    <row r="162" spans="1:13" x14ac:dyDescent="0.35">
      <c r="A162" s="42">
        <f>'VaR Model'!C162</f>
        <v>44799</v>
      </c>
      <c r="B162" s="50">
        <f>'VaR Model'!D162</f>
        <v>-3.7189244357815692E-4</v>
      </c>
      <c r="J162" s="42">
        <f>'VaR Model'!C162</f>
        <v>44799</v>
      </c>
      <c r="K162" s="71">
        <f>'VaR Model'!D162</f>
        <v>-3.7189244357815692E-4</v>
      </c>
      <c r="L162">
        <f>Backtesting!D162</f>
        <v>0</v>
      </c>
      <c r="M162" s="7">
        <f>Backtesting!F162</f>
        <v>0</v>
      </c>
    </row>
    <row r="163" spans="1:13" x14ac:dyDescent="0.35">
      <c r="A163" s="42">
        <f>'VaR Model'!C163</f>
        <v>44802</v>
      </c>
      <c r="B163" s="50">
        <f>'VaR Model'!D163</f>
        <v>-1.8279917897277634E-2</v>
      </c>
      <c r="J163" s="42">
        <f>'VaR Model'!C163</f>
        <v>44802</v>
      </c>
      <c r="K163" s="71">
        <f>'VaR Model'!D163</f>
        <v>-1.8279917897277634E-2</v>
      </c>
      <c r="L163">
        <f>Backtesting!D163</f>
        <v>0</v>
      </c>
      <c r="M163" s="7">
        <f>Backtesting!F163</f>
        <v>1</v>
      </c>
    </row>
    <row r="164" spans="1:13" x14ac:dyDescent="0.35">
      <c r="A164" s="42">
        <f>'VaR Model'!C164</f>
        <v>44803</v>
      </c>
      <c r="B164" s="50">
        <f>'VaR Model'!D164</f>
        <v>2.386163397090663E-2</v>
      </c>
      <c r="J164" s="42">
        <f>'VaR Model'!C164</f>
        <v>44803</v>
      </c>
      <c r="K164" s="71">
        <f>'VaR Model'!D164</f>
        <v>2.386163397090663E-2</v>
      </c>
      <c r="L164">
        <f>Backtesting!D164</f>
        <v>0</v>
      </c>
      <c r="M164" s="7">
        <f>Backtesting!F164</f>
        <v>0</v>
      </c>
    </row>
    <row r="165" spans="1:13" x14ac:dyDescent="0.35">
      <c r="A165" s="42">
        <f>'VaR Model'!C165</f>
        <v>44805</v>
      </c>
      <c r="B165" s="50">
        <f>'VaR Model'!D165</f>
        <v>-1.9630208444741018E-2</v>
      </c>
      <c r="J165" s="42">
        <f>'VaR Model'!C165</f>
        <v>44805</v>
      </c>
      <c r="K165" s="71">
        <f>'VaR Model'!D165</f>
        <v>-1.9630208444741018E-2</v>
      </c>
      <c r="L165">
        <f>Backtesting!D165</f>
        <v>0</v>
      </c>
      <c r="M165" s="7">
        <f>Backtesting!F165</f>
        <v>1</v>
      </c>
    </row>
    <row r="166" spans="1:13" x14ac:dyDescent="0.35">
      <c r="A166" s="42">
        <f>'VaR Model'!C166</f>
        <v>44806</v>
      </c>
      <c r="B166" s="50">
        <f>'VaR Model'!D166</f>
        <v>-9.4599409331512247E-4</v>
      </c>
      <c r="J166" s="42">
        <f>'VaR Model'!C166</f>
        <v>44806</v>
      </c>
      <c r="K166" s="71">
        <f>'VaR Model'!D166</f>
        <v>-9.4599409331512247E-4</v>
      </c>
      <c r="L166">
        <f>Backtesting!D166</f>
        <v>0</v>
      </c>
      <c r="M166" s="7">
        <f>Backtesting!F166</f>
        <v>0</v>
      </c>
    </row>
    <row r="167" spans="1:13" x14ac:dyDescent="0.35">
      <c r="A167" s="42">
        <f>'VaR Model'!C167</f>
        <v>44809</v>
      </c>
      <c r="B167" s="50">
        <f>'VaR Model'!D167</f>
        <v>1.0203039420723231E-2</v>
      </c>
      <c r="J167" s="42">
        <f>'VaR Model'!C167</f>
        <v>44809</v>
      </c>
      <c r="K167" s="71">
        <f>'VaR Model'!D167</f>
        <v>1.0203039420723231E-2</v>
      </c>
      <c r="L167">
        <f>Backtesting!D167</f>
        <v>0</v>
      </c>
      <c r="M167" s="7">
        <f>Backtesting!F167</f>
        <v>0</v>
      </c>
    </row>
    <row r="168" spans="1:13" x14ac:dyDescent="0.35">
      <c r="A168" s="42">
        <f>'VaR Model'!C168</f>
        <v>44810</v>
      </c>
      <c r="B168" s="50">
        <f>'VaR Model'!D168</f>
        <v>7.4359028303652578E-5</v>
      </c>
      <c r="J168" s="42">
        <f>'VaR Model'!C168</f>
        <v>44810</v>
      </c>
      <c r="K168" s="71">
        <f>'VaR Model'!D168</f>
        <v>7.4359028303652578E-5</v>
      </c>
      <c r="L168">
        <f>Backtesting!D168</f>
        <v>0</v>
      </c>
      <c r="M168" s="7">
        <f>Backtesting!F168</f>
        <v>0</v>
      </c>
    </row>
    <row r="169" spans="1:13" x14ac:dyDescent="0.35">
      <c r="A169" s="42">
        <f>'VaR Model'!C169</f>
        <v>44811</v>
      </c>
      <c r="B169" s="50">
        <f>'VaR Model'!D169</f>
        <v>-1.7210913395541028E-3</v>
      </c>
      <c r="J169" s="42">
        <f>'VaR Model'!C169</f>
        <v>44811</v>
      </c>
      <c r="K169" s="71">
        <f>'VaR Model'!D169</f>
        <v>-1.7210913395541028E-3</v>
      </c>
      <c r="L169">
        <f>Backtesting!D169</f>
        <v>0</v>
      </c>
      <c r="M169" s="7">
        <f>Backtesting!F169</f>
        <v>0</v>
      </c>
    </row>
    <row r="170" spans="1:13" x14ac:dyDescent="0.35">
      <c r="A170" s="42">
        <f>'VaR Model'!C170</f>
        <v>44812</v>
      </c>
      <c r="B170" s="50">
        <f>'VaR Model'!D170</f>
        <v>1.1453296844819102E-2</v>
      </c>
      <c r="J170" s="42">
        <f>'VaR Model'!C170</f>
        <v>44812</v>
      </c>
      <c r="K170" s="71">
        <f>'VaR Model'!D170</f>
        <v>1.1453296844819102E-2</v>
      </c>
      <c r="L170">
        <f>Backtesting!D170</f>
        <v>0</v>
      </c>
      <c r="M170" s="7">
        <f>Backtesting!F170</f>
        <v>0</v>
      </c>
    </row>
    <row r="171" spans="1:13" x14ac:dyDescent="0.35">
      <c r="A171" s="42">
        <f>'VaR Model'!C171</f>
        <v>44813</v>
      </c>
      <c r="B171" s="50">
        <f>'VaR Model'!D171</f>
        <v>7.4532598042476176E-3</v>
      </c>
      <c r="J171" s="42">
        <f>'VaR Model'!C171</f>
        <v>44813</v>
      </c>
      <c r="K171" s="71">
        <f>'VaR Model'!D171</f>
        <v>7.4532598042476176E-3</v>
      </c>
      <c r="L171">
        <f>Backtesting!D171</f>
        <v>0</v>
      </c>
      <c r="M171" s="7">
        <f>Backtesting!F171</f>
        <v>0</v>
      </c>
    </row>
    <row r="172" spans="1:13" x14ac:dyDescent="0.35">
      <c r="A172" s="42">
        <f>'VaR Model'!C172</f>
        <v>44816</v>
      </c>
      <c r="B172" s="50">
        <f>'VaR Model'!D172</f>
        <v>8.5673640841560268E-3</v>
      </c>
      <c r="J172" s="42">
        <f>'VaR Model'!C172</f>
        <v>44816</v>
      </c>
      <c r="K172" s="71">
        <f>'VaR Model'!D172</f>
        <v>8.5673640841560268E-3</v>
      </c>
      <c r="L172">
        <f>Backtesting!D172</f>
        <v>0</v>
      </c>
      <c r="M172" s="7">
        <f>Backtesting!F172</f>
        <v>0</v>
      </c>
    </row>
    <row r="173" spans="1:13" x14ac:dyDescent="0.35">
      <c r="A173" s="42">
        <f>'VaR Model'!C173</f>
        <v>44817</v>
      </c>
      <c r="B173" s="50">
        <f>'VaR Model'!D173</f>
        <v>4.6802731303809391E-3</v>
      </c>
      <c r="J173" s="42">
        <f>'VaR Model'!C173</f>
        <v>44817</v>
      </c>
      <c r="K173" s="71">
        <f>'VaR Model'!D173</f>
        <v>4.6802731303809391E-3</v>
      </c>
      <c r="L173">
        <f>Backtesting!D173</f>
        <v>0</v>
      </c>
      <c r="M173" s="7">
        <f>Backtesting!F173</f>
        <v>0</v>
      </c>
    </row>
    <row r="174" spans="1:13" x14ac:dyDescent="0.35">
      <c r="A174" s="42">
        <f>'VaR Model'!C174</f>
        <v>44818</v>
      </c>
      <c r="B174" s="50">
        <f>'VaR Model'!D174</f>
        <v>-1.6144627117291286E-2</v>
      </c>
      <c r="J174" s="42">
        <f>'VaR Model'!C174</f>
        <v>44818</v>
      </c>
      <c r="K174" s="71">
        <f>'VaR Model'!D174</f>
        <v>-1.6144627117291286E-2</v>
      </c>
      <c r="L174">
        <f>Backtesting!D174</f>
        <v>0</v>
      </c>
      <c r="M174" s="7">
        <f>Backtesting!F174</f>
        <v>1</v>
      </c>
    </row>
    <row r="175" spans="1:13" x14ac:dyDescent="0.35">
      <c r="A175" s="42">
        <f>'VaR Model'!C175</f>
        <v>44819</v>
      </c>
      <c r="B175" s="50">
        <f>'VaR Model'!D175</f>
        <v>-9.7427025165440443E-3</v>
      </c>
      <c r="J175" s="42">
        <f>'VaR Model'!C175</f>
        <v>44819</v>
      </c>
      <c r="K175" s="71">
        <f>'VaR Model'!D175</f>
        <v>-9.7427025165440443E-3</v>
      </c>
      <c r="L175">
        <f>Backtesting!D175</f>
        <v>0</v>
      </c>
      <c r="M175" s="7">
        <f>Backtesting!F175</f>
        <v>0</v>
      </c>
    </row>
    <row r="176" spans="1:13" x14ac:dyDescent="0.35">
      <c r="A176" s="42">
        <f>'VaR Model'!C176</f>
        <v>44820</v>
      </c>
      <c r="B176" s="50">
        <f>'VaR Model'!D176</f>
        <v>-2.2758996063465313E-2</v>
      </c>
      <c r="J176" s="42">
        <f>'VaR Model'!C176</f>
        <v>44820</v>
      </c>
      <c r="K176" s="71">
        <f>'VaR Model'!D176</f>
        <v>-2.2758996063465313E-2</v>
      </c>
      <c r="L176">
        <f>Backtesting!D176</f>
        <v>1</v>
      </c>
      <c r="M176" s="7">
        <f>Backtesting!F176</f>
        <v>1</v>
      </c>
    </row>
    <row r="177" spans="1:13" x14ac:dyDescent="0.35">
      <c r="A177" s="42">
        <f>'VaR Model'!C177</f>
        <v>44823</v>
      </c>
      <c r="B177" s="50">
        <f>'VaR Model'!D177</f>
        <v>3.9019418659208939E-3</v>
      </c>
      <c r="J177" s="42">
        <f>'VaR Model'!C177</f>
        <v>44823</v>
      </c>
      <c r="K177" s="71">
        <f>'VaR Model'!D177</f>
        <v>3.9019418659208939E-3</v>
      </c>
      <c r="L177">
        <f>Backtesting!D177</f>
        <v>0</v>
      </c>
      <c r="M177" s="7">
        <f>Backtesting!F177</f>
        <v>0</v>
      </c>
    </row>
    <row r="178" spans="1:13" x14ac:dyDescent="0.35">
      <c r="A178" s="42">
        <f>'VaR Model'!C178</f>
        <v>44824</v>
      </c>
      <c r="B178" s="50">
        <f>'VaR Model'!D178</f>
        <v>4.6366753138987471E-3</v>
      </c>
      <c r="J178" s="42">
        <f>'VaR Model'!C178</f>
        <v>44824</v>
      </c>
      <c r="K178" s="71">
        <f>'VaR Model'!D178</f>
        <v>4.6366753138987471E-3</v>
      </c>
      <c r="L178">
        <f>Backtesting!D178</f>
        <v>0</v>
      </c>
      <c r="M178" s="7">
        <f>Backtesting!F178</f>
        <v>0</v>
      </c>
    </row>
    <row r="179" spans="1:13" x14ac:dyDescent="0.35">
      <c r="A179" s="42">
        <f>'VaR Model'!C179</f>
        <v>44825</v>
      </c>
      <c r="B179" s="50">
        <f>'VaR Model'!D179</f>
        <v>-1.075194707953937E-3</v>
      </c>
      <c r="J179" s="42">
        <f>'VaR Model'!C179</f>
        <v>44825</v>
      </c>
      <c r="K179" s="71">
        <f>'VaR Model'!D179</f>
        <v>-1.075194707953937E-3</v>
      </c>
      <c r="L179">
        <f>Backtesting!D179</f>
        <v>0</v>
      </c>
      <c r="M179" s="7">
        <f>Backtesting!F179</f>
        <v>0</v>
      </c>
    </row>
    <row r="180" spans="1:13" x14ac:dyDescent="0.35">
      <c r="A180" s="42">
        <f>'VaR Model'!C180</f>
        <v>44826</v>
      </c>
      <c r="B180" s="50">
        <f>'VaR Model'!D180</f>
        <v>-3.04966077871913E-3</v>
      </c>
      <c r="J180" s="42">
        <f>'VaR Model'!C180</f>
        <v>44826</v>
      </c>
      <c r="K180" s="71">
        <f>'VaR Model'!D180</f>
        <v>-3.04966077871913E-3</v>
      </c>
      <c r="L180">
        <f>Backtesting!D180</f>
        <v>0</v>
      </c>
      <c r="M180" s="7">
        <f>Backtesting!F180</f>
        <v>0</v>
      </c>
    </row>
    <row r="181" spans="1:13" x14ac:dyDescent="0.35">
      <c r="A181" s="42">
        <f>'VaR Model'!C181</f>
        <v>44827</v>
      </c>
      <c r="B181" s="50">
        <f>'VaR Model'!D181</f>
        <v>-9.8004029367385233E-3</v>
      </c>
      <c r="J181" s="42">
        <f>'VaR Model'!C181</f>
        <v>44827</v>
      </c>
      <c r="K181" s="71">
        <f>'VaR Model'!D181</f>
        <v>-9.8004029367385233E-3</v>
      </c>
      <c r="L181">
        <f>Backtesting!D181</f>
        <v>0</v>
      </c>
      <c r="M181" s="7">
        <f>Backtesting!F181</f>
        <v>0</v>
      </c>
    </row>
    <row r="182" spans="1:13" x14ac:dyDescent="0.35">
      <c r="A182" s="42">
        <f>'VaR Model'!C182</f>
        <v>44830</v>
      </c>
      <c r="B182" s="50">
        <f>'VaR Model'!D182</f>
        <v>-1.5175823492499064E-2</v>
      </c>
      <c r="J182" s="42">
        <f>'VaR Model'!C182</f>
        <v>44830</v>
      </c>
      <c r="K182" s="71">
        <f>'VaR Model'!D182</f>
        <v>-1.5175823492499064E-2</v>
      </c>
      <c r="L182">
        <f>Backtesting!D182</f>
        <v>0</v>
      </c>
      <c r="M182" s="7">
        <f>Backtesting!F182</f>
        <v>1</v>
      </c>
    </row>
    <row r="183" spans="1:13" x14ac:dyDescent="0.35">
      <c r="A183" s="42">
        <f>'VaR Model'!C183</f>
        <v>44831</v>
      </c>
      <c r="B183" s="50">
        <f>'VaR Model'!D183</f>
        <v>4.4013503139714062E-3</v>
      </c>
      <c r="J183" s="42">
        <f>'VaR Model'!C183</f>
        <v>44831</v>
      </c>
      <c r="K183" s="71">
        <f>'VaR Model'!D183</f>
        <v>4.4013503139714062E-3</v>
      </c>
      <c r="L183">
        <f>Backtesting!D183</f>
        <v>0</v>
      </c>
      <c r="M183" s="7">
        <f>Backtesting!F183</f>
        <v>0</v>
      </c>
    </row>
    <row r="184" spans="1:13" x14ac:dyDescent="0.35">
      <c r="A184" s="42">
        <f>'VaR Model'!C184</f>
        <v>44832</v>
      </c>
      <c r="B184" s="50">
        <f>'VaR Model'!D184</f>
        <v>-1.0749046524855383E-2</v>
      </c>
      <c r="J184" s="42">
        <f>'VaR Model'!C184</f>
        <v>44832</v>
      </c>
      <c r="K184" s="71">
        <f>'VaR Model'!D184</f>
        <v>-1.0749046524855383E-2</v>
      </c>
      <c r="L184">
        <f>Backtesting!D184</f>
        <v>0</v>
      </c>
      <c r="M184" s="7">
        <f>Backtesting!F184</f>
        <v>0</v>
      </c>
    </row>
    <row r="185" spans="1:13" x14ac:dyDescent="0.35">
      <c r="A185" s="42">
        <f>'VaR Model'!C185</f>
        <v>44833</v>
      </c>
      <c r="B185" s="50">
        <f>'VaR Model'!D185</f>
        <v>1.0092479224121558E-3</v>
      </c>
      <c r="J185" s="42">
        <f>'VaR Model'!C185</f>
        <v>44833</v>
      </c>
      <c r="K185" s="71">
        <f>'VaR Model'!D185</f>
        <v>1.0092479224121558E-3</v>
      </c>
      <c r="L185">
        <f>Backtesting!D185</f>
        <v>0</v>
      </c>
      <c r="M185" s="7">
        <f>Backtesting!F185</f>
        <v>0</v>
      </c>
    </row>
    <row r="186" spans="1:13" x14ac:dyDescent="0.35">
      <c r="A186" s="42">
        <f>'VaR Model'!C186</f>
        <v>44834</v>
      </c>
      <c r="B186" s="50">
        <f>'VaR Model'!D186</f>
        <v>1.0786731095373486E-2</v>
      </c>
      <c r="J186" s="42">
        <f>'VaR Model'!C186</f>
        <v>44834</v>
      </c>
      <c r="K186" s="71">
        <f>'VaR Model'!D186</f>
        <v>1.0786731095373486E-2</v>
      </c>
      <c r="L186">
        <f>Backtesting!D186</f>
        <v>0</v>
      </c>
      <c r="M186" s="7">
        <f>Backtesting!F186</f>
        <v>0</v>
      </c>
    </row>
    <row r="187" spans="1:13" x14ac:dyDescent="0.35">
      <c r="A187" s="42">
        <f>'VaR Model'!C187</f>
        <v>44837</v>
      </c>
      <c r="B187" s="50">
        <f>'VaR Model'!D187</f>
        <v>-1.2760012827987288E-2</v>
      </c>
      <c r="J187" s="42">
        <f>'VaR Model'!C187</f>
        <v>44837</v>
      </c>
      <c r="K187" s="71">
        <f>'VaR Model'!D187</f>
        <v>-1.2760012827987288E-2</v>
      </c>
      <c r="L187">
        <f>Backtesting!D187</f>
        <v>0</v>
      </c>
      <c r="M187" s="7">
        <f>Backtesting!F187</f>
        <v>0</v>
      </c>
    </row>
    <row r="188" spans="1:13" x14ac:dyDescent="0.35">
      <c r="A188" s="42">
        <f>'VaR Model'!C188</f>
        <v>44838</v>
      </c>
      <c r="B188" s="50">
        <f>'VaR Model'!D188</f>
        <v>2.534004097513428E-2</v>
      </c>
      <c r="J188" s="42">
        <f>'VaR Model'!C188</f>
        <v>44838</v>
      </c>
      <c r="K188" s="71">
        <f>'VaR Model'!D188</f>
        <v>2.534004097513428E-2</v>
      </c>
      <c r="L188">
        <f>Backtesting!D188</f>
        <v>0</v>
      </c>
      <c r="M188" s="7">
        <f>Backtesting!F188</f>
        <v>0</v>
      </c>
    </row>
    <row r="189" spans="1:13" x14ac:dyDescent="0.35">
      <c r="A189" s="42">
        <f>'VaR Model'!C189</f>
        <v>44840</v>
      </c>
      <c r="B189" s="50">
        <f>'VaR Model'!D189</f>
        <v>1.1337939044607385E-2</v>
      </c>
      <c r="J189" s="42">
        <f>'VaR Model'!C189</f>
        <v>44840</v>
      </c>
      <c r="K189" s="71">
        <f>'VaR Model'!D189</f>
        <v>1.1337939044607385E-2</v>
      </c>
      <c r="L189">
        <f>Backtesting!D189</f>
        <v>0</v>
      </c>
      <c r="M189" s="7">
        <f>Backtesting!F189</f>
        <v>0</v>
      </c>
    </row>
    <row r="190" spans="1:13" x14ac:dyDescent="0.35">
      <c r="A190" s="42">
        <f>'VaR Model'!C190</f>
        <v>44841</v>
      </c>
      <c r="B190" s="50">
        <f>'VaR Model'!D190</f>
        <v>-4.2795684226510115E-3</v>
      </c>
      <c r="J190" s="42">
        <f>'VaR Model'!C190</f>
        <v>44841</v>
      </c>
      <c r="K190" s="71">
        <f>'VaR Model'!D190</f>
        <v>-4.2795684226510115E-3</v>
      </c>
      <c r="L190">
        <f>Backtesting!D190</f>
        <v>0</v>
      </c>
      <c r="M190" s="7">
        <f>Backtesting!F190</f>
        <v>0</v>
      </c>
    </row>
    <row r="191" spans="1:13" x14ac:dyDescent="0.35">
      <c r="A191" s="42">
        <f>'VaR Model'!C191</f>
        <v>44844</v>
      </c>
      <c r="B191" s="50">
        <f>'VaR Model'!D191</f>
        <v>-1.1122673971681193E-3</v>
      </c>
      <c r="J191" s="42">
        <f>'VaR Model'!C191</f>
        <v>44844</v>
      </c>
      <c r="K191" s="71">
        <f>'VaR Model'!D191</f>
        <v>-1.1122673971681193E-3</v>
      </c>
      <c r="L191">
        <f>Backtesting!D191</f>
        <v>0</v>
      </c>
      <c r="M191" s="7">
        <f>Backtesting!F191</f>
        <v>0</v>
      </c>
    </row>
    <row r="192" spans="1:13" x14ac:dyDescent="0.35">
      <c r="A192" s="42">
        <f>'VaR Model'!C192</f>
        <v>44845</v>
      </c>
      <c r="B192" s="50">
        <f>'VaR Model'!D192</f>
        <v>-1.6065822214709733E-2</v>
      </c>
      <c r="J192" s="42">
        <f>'VaR Model'!C192</f>
        <v>44845</v>
      </c>
      <c r="K192" s="71">
        <f>'VaR Model'!D192</f>
        <v>-1.6065822214709733E-2</v>
      </c>
      <c r="L192">
        <f>Backtesting!D192</f>
        <v>0</v>
      </c>
      <c r="M192" s="7">
        <f>Backtesting!F192</f>
        <v>1</v>
      </c>
    </row>
    <row r="193" spans="1:13" x14ac:dyDescent="0.35">
      <c r="A193" s="42">
        <f>'VaR Model'!C193</f>
        <v>44846</v>
      </c>
      <c r="B193" s="50">
        <f>'VaR Model'!D193</f>
        <v>5.9766048471025218E-3</v>
      </c>
      <c r="J193" s="42">
        <f>'VaR Model'!C193</f>
        <v>44846</v>
      </c>
      <c r="K193" s="71">
        <f>'VaR Model'!D193</f>
        <v>5.9766048471025218E-3</v>
      </c>
      <c r="L193">
        <f>Backtesting!D193</f>
        <v>0</v>
      </c>
      <c r="M193" s="7">
        <f>Backtesting!F193</f>
        <v>0</v>
      </c>
    </row>
    <row r="194" spans="1:13" x14ac:dyDescent="0.35">
      <c r="A194" s="42">
        <f>'VaR Model'!C194</f>
        <v>44847</v>
      </c>
      <c r="B194" s="50">
        <f>'VaR Model'!D194</f>
        <v>-4.743865641533806E-3</v>
      </c>
      <c r="J194" s="42">
        <f>'VaR Model'!C194</f>
        <v>44847</v>
      </c>
      <c r="K194" s="71">
        <f>'VaR Model'!D194</f>
        <v>-4.743865641533806E-3</v>
      </c>
      <c r="L194">
        <f>Backtesting!D194</f>
        <v>0</v>
      </c>
      <c r="M194" s="7">
        <f>Backtesting!F194</f>
        <v>0</v>
      </c>
    </row>
    <row r="195" spans="1:13" x14ac:dyDescent="0.35">
      <c r="A195" s="42">
        <f>'VaR Model'!C195</f>
        <v>44848</v>
      </c>
      <c r="B195" s="50">
        <f>'VaR Model'!D195</f>
        <v>1.2180572523455429E-2</v>
      </c>
      <c r="J195" s="42">
        <f>'VaR Model'!C195</f>
        <v>44848</v>
      </c>
      <c r="K195" s="71">
        <f>'VaR Model'!D195</f>
        <v>1.2180572523455429E-2</v>
      </c>
      <c r="L195">
        <f>Backtesting!D195</f>
        <v>0</v>
      </c>
      <c r="M195" s="7">
        <f>Backtesting!F195</f>
        <v>0</v>
      </c>
    </row>
    <row r="196" spans="1:13" x14ac:dyDescent="0.35">
      <c r="A196" s="42">
        <f>'VaR Model'!C196</f>
        <v>44851</v>
      </c>
      <c r="B196" s="50">
        <f>'VaR Model'!D196</f>
        <v>9.6113008846765973E-3</v>
      </c>
      <c r="J196" s="42">
        <f>'VaR Model'!C196</f>
        <v>44851</v>
      </c>
      <c r="K196" s="71">
        <f>'VaR Model'!D196</f>
        <v>9.6113008846765973E-3</v>
      </c>
      <c r="L196">
        <f>Backtesting!D196</f>
        <v>0</v>
      </c>
      <c r="M196" s="7">
        <f>Backtesting!F196</f>
        <v>0</v>
      </c>
    </row>
    <row r="197" spans="1:13" x14ac:dyDescent="0.35">
      <c r="A197" s="42">
        <f>'VaR Model'!C197</f>
        <v>44852</v>
      </c>
      <c r="B197" s="50">
        <f>'VaR Model'!D197</f>
        <v>1.4855020826332832E-2</v>
      </c>
      <c r="J197" s="42">
        <f>'VaR Model'!C197</f>
        <v>44852</v>
      </c>
      <c r="K197" s="71">
        <f>'VaR Model'!D197</f>
        <v>1.4855020826332832E-2</v>
      </c>
      <c r="L197">
        <f>Backtesting!D197</f>
        <v>0</v>
      </c>
      <c r="M197" s="7">
        <f>Backtesting!F197</f>
        <v>0</v>
      </c>
    </row>
    <row r="198" spans="1:13" x14ac:dyDescent="0.35">
      <c r="A198" s="42">
        <f>'VaR Model'!C198</f>
        <v>44853</v>
      </c>
      <c r="B198" s="50">
        <f>'VaR Model'!D198</f>
        <v>1.999894353020875E-3</v>
      </c>
      <c r="J198" s="42">
        <f>'VaR Model'!C198</f>
        <v>44853</v>
      </c>
      <c r="K198" s="71">
        <f>'VaR Model'!D198</f>
        <v>1.999894353020875E-3</v>
      </c>
      <c r="L198">
        <f>Backtesting!D198</f>
        <v>0</v>
      </c>
      <c r="M198" s="7">
        <f>Backtesting!F198</f>
        <v>0</v>
      </c>
    </row>
    <row r="199" spans="1:13" x14ac:dyDescent="0.35">
      <c r="A199" s="42">
        <f>'VaR Model'!C199</f>
        <v>44854</v>
      </c>
      <c r="B199" s="50">
        <f>'VaR Model'!D199</f>
        <v>6.0154944347668039E-3</v>
      </c>
      <c r="J199" s="42">
        <f>'VaR Model'!C199</f>
        <v>44854</v>
      </c>
      <c r="K199" s="71">
        <f>'VaR Model'!D199</f>
        <v>6.0154944347668039E-3</v>
      </c>
      <c r="L199">
        <f>Backtesting!D199</f>
        <v>0</v>
      </c>
      <c r="M199" s="7">
        <f>Backtesting!F199</f>
        <v>0</v>
      </c>
    </row>
    <row r="200" spans="1:13" x14ac:dyDescent="0.35">
      <c r="A200" s="42">
        <f>'VaR Model'!C200</f>
        <v>44855</v>
      </c>
      <c r="B200" s="50">
        <f>'VaR Model'!D200</f>
        <v>-1.8927272670183073E-3</v>
      </c>
      <c r="J200" s="42">
        <f>'VaR Model'!C200</f>
        <v>44855</v>
      </c>
      <c r="K200" s="71">
        <f>'VaR Model'!D200</f>
        <v>-1.8927272670183073E-3</v>
      </c>
      <c r="L200">
        <f>Backtesting!D200</f>
        <v>0</v>
      </c>
      <c r="M200" s="7">
        <f>Backtesting!F200</f>
        <v>0</v>
      </c>
    </row>
    <row r="201" spans="1:13" x14ac:dyDescent="0.35">
      <c r="A201" s="42">
        <f>'VaR Model'!C201</f>
        <v>44858</v>
      </c>
      <c r="B201" s="50">
        <f>'VaR Model'!D201</f>
        <v>9.9008750396821447E-3</v>
      </c>
      <c r="J201" s="42">
        <f>'VaR Model'!C201</f>
        <v>44858</v>
      </c>
      <c r="K201" s="71">
        <f>'VaR Model'!D201</f>
        <v>9.9008750396821447E-3</v>
      </c>
      <c r="L201">
        <f>Backtesting!D201</f>
        <v>0</v>
      </c>
      <c r="M201" s="7">
        <f>Backtesting!F201</f>
        <v>0</v>
      </c>
    </row>
    <row r="202" spans="1:13" x14ac:dyDescent="0.35">
      <c r="A202" s="42">
        <f>'VaR Model'!C202</f>
        <v>44859</v>
      </c>
      <c r="B202" s="50">
        <f>'VaR Model'!D202</f>
        <v>-3.053379446484027E-3</v>
      </c>
      <c r="J202" s="42">
        <f>'VaR Model'!C202</f>
        <v>44859</v>
      </c>
      <c r="K202" s="71">
        <f>'VaR Model'!D202</f>
        <v>-3.053379446484027E-3</v>
      </c>
      <c r="L202">
        <f>Backtesting!D202</f>
        <v>0</v>
      </c>
      <c r="M202" s="7">
        <f>Backtesting!F202</f>
        <v>0</v>
      </c>
    </row>
    <row r="203" spans="1:13" x14ac:dyDescent="0.35">
      <c r="A203" s="42">
        <f>'VaR Model'!C203</f>
        <v>44861</v>
      </c>
      <c r="B203" s="50">
        <f>'VaR Model'!D203</f>
        <v>-2.5246182761789039E-4</v>
      </c>
      <c r="J203" s="42">
        <f>'VaR Model'!C203</f>
        <v>44861</v>
      </c>
      <c r="K203" s="71">
        <f>'VaR Model'!D203</f>
        <v>-2.5246182761789039E-4</v>
      </c>
      <c r="L203">
        <f>Backtesting!D203</f>
        <v>0</v>
      </c>
      <c r="M203" s="7">
        <f>Backtesting!F203</f>
        <v>0</v>
      </c>
    </row>
    <row r="204" spans="1:13" x14ac:dyDescent="0.35">
      <c r="A204" s="42">
        <f>'VaR Model'!C204</f>
        <v>44862</v>
      </c>
      <c r="B204" s="50">
        <f>'VaR Model'!D204</f>
        <v>1.3750421738952696E-3</v>
      </c>
      <c r="J204" s="42">
        <f>'VaR Model'!C204</f>
        <v>44862</v>
      </c>
      <c r="K204" s="71">
        <f>'VaR Model'!D204</f>
        <v>1.3750421738952696E-3</v>
      </c>
      <c r="L204">
        <f>Backtesting!D204</f>
        <v>0</v>
      </c>
      <c r="M204" s="7">
        <f>Backtesting!F204</f>
        <v>0</v>
      </c>
    </row>
    <row r="205" spans="1:13" x14ac:dyDescent="0.35">
      <c r="A205" s="42">
        <f>'VaR Model'!C205</f>
        <v>44865</v>
      </c>
      <c r="B205" s="50">
        <f>'VaR Model'!D205</f>
        <v>8.7910809624351383E-3</v>
      </c>
      <c r="J205" s="42">
        <f>'VaR Model'!C205</f>
        <v>44865</v>
      </c>
      <c r="K205" s="71">
        <f>'VaR Model'!D205</f>
        <v>8.7910809624351383E-3</v>
      </c>
      <c r="L205">
        <f>Backtesting!D205</f>
        <v>0</v>
      </c>
      <c r="M205" s="7">
        <f>Backtesting!F205</f>
        <v>0</v>
      </c>
    </row>
    <row r="206" spans="1:13" x14ac:dyDescent="0.35">
      <c r="A206" s="42">
        <f>'VaR Model'!C206</f>
        <v>44866</v>
      </c>
      <c r="B206" s="50">
        <f>'VaR Model'!D206</f>
        <v>7.5497233045846799E-3</v>
      </c>
      <c r="J206" s="42">
        <f>'VaR Model'!C206</f>
        <v>44866</v>
      </c>
      <c r="K206" s="71">
        <f>'VaR Model'!D206</f>
        <v>7.5497233045846799E-3</v>
      </c>
      <c r="L206">
        <f>Backtesting!D206</f>
        <v>0</v>
      </c>
      <c r="M206" s="7">
        <f>Backtesting!F206</f>
        <v>0</v>
      </c>
    </row>
    <row r="207" spans="1:13" x14ac:dyDescent="0.35">
      <c r="A207" s="42">
        <f>'VaR Model'!C207</f>
        <v>44867</v>
      </c>
      <c r="B207" s="50">
        <f>'VaR Model'!D207</f>
        <v>-3.1659955885724378E-4</v>
      </c>
      <c r="J207" s="42">
        <f>'VaR Model'!C207</f>
        <v>44867</v>
      </c>
      <c r="K207" s="71">
        <f>'VaR Model'!D207</f>
        <v>-3.1659955885724378E-4</v>
      </c>
      <c r="L207">
        <f>Backtesting!D207</f>
        <v>0</v>
      </c>
      <c r="M207" s="7">
        <f>Backtesting!F207</f>
        <v>0</v>
      </c>
    </row>
    <row r="208" spans="1:13" x14ac:dyDescent="0.35">
      <c r="A208" s="42">
        <f>'VaR Model'!C208</f>
        <v>44868</v>
      </c>
      <c r="B208" s="50">
        <f>'VaR Model'!D208</f>
        <v>-4.0162834945542038E-3</v>
      </c>
      <c r="J208" s="42">
        <f>'VaR Model'!C208</f>
        <v>44868</v>
      </c>
      <c r="K208" s="71">
        <f>'VaR Model'!D208</f>
        <v>-4.0162834945542038E-3</v>
      </c>
      <c r="L208">
        <f>Backtesting!D208</f>
        <v>0</v>
      </c>
      <c r="M208" s="7">
        <f>Backtesting!F208</f>
        <v>0</v>
      </c>
    </row>
    <row r="209" spans="1:13" x14ac:dyDescent="0.35">
      <c r="A209" s="42">
        <f>'VaR Model'!C209</f>
        <v>44869</v>
      </c>
      <c r="B209" s="50">
        <f>'VaR Model'!D209</f>
        <v>5.8976410618482298E-4</v>
      </c>
      <c r="J209" s="42">
        <f>'VaR Model'!C209</f>
        <v>44869</v>
      </c>
      <c r="K209" s="71">
        <f>'VaR Model'!D209</f>
        <v>5.8976410618482298E-4</v>
      </c>
      <c r="L209">
        <f>Backtesting!D209</f>
        <v>0</v>
      </c>
      <c r="M209" s="7">
        <f>Backtesting!F209</f>
        <v>0</v>
      </c>
    </row>
    <row r="210" spans="1:13" x14ac:dyDescent="0.35">
      <c r="A210" s="42">
        <f>'VaR Model'!C210</f>
        <v>44872</v>
      </c>
      <c r="B210" s="50">
        <f>'VaR Model'!D210</f>
        <v>3.8328441117504424E-3</v>
      </c>
      <c r="J210" s="42">
        <f>'VaR Model'!C210</f>
        <v>44872</v>
      </c>
      <c r="K210" s="71">
        <f>'VaR Model'!D210</f>
        <v>3.8328441117504424E-3</v>
      </c>
      <c r="L210">
        <f>Backtesting!D210</f>
        <v>0</v>
      </c>
      <c r="M210" s="7">
        <f>Backtesting!F210</f>
        <v>0</v>
      </c>
    </row>
    <row r="211" spans="1:13" x14ac:dyDescent="0.35">
      <c r="A211" s="42">
        <f>'VaR Model'!C211</f>
        <v>44874</v>
      </c>
      <c r="B211" s="50">
        <f>'VaR Model'!D211</f>
        <v>1.7003916404587649E-3</v>
      </c>
      <c r="J211" s="42">
        <f>'VaR Model'!C211</f>
        <v>44874</v>
      </c>
      <c r="K211" s="71">
        <f>'VaR Model'!D211</f>
        <v>1.7003916404587649E-3</v>
      </c>
      <c r="L211">
        <f>Backtesting!D211</f>
        <v>0</v>
      </c>
      <c r="M211" s="7">
        <f>Backtesting!F211</f>
        <v>0</v>
      </c>
    </row>
    <row r="212" spans="1:13" x14ac:dyDescent="0.35">
      <c r="A212" s="42">
        <f>'VaR Model'!C212</f>
        <v>44875</v>
      </c>
      <c r="B212" s="50">
        <f>'VaR Model'!D212</f>
        <v>-6.8891147700805861E-3</v>
      </c>
      <c r="J212" s="42">
        <f>'VaR Model'!C212</f>
        <v>44875</v>
      </c>
      <c r="K212" s="71">
        <f>'VaR Model'!D212</f>
        <v>-6.8891147700805861E-3</v>
      </c>
      <c r="L212">
        <f>Backtesting!D212</f>
        <v>0</v>
      </c>
      <c r="M212" s="7">
        <f>Backtesting!F212</f>
        <v>0</v>
      </c>
    </row>
    <row r="213" spans="1:13" x14ac:dyDescent="0.35">
      <c r="A213" s="42">
        <f>'VaR Model'!C213</f>
        <v>44876</v>
      </c>
      <c r="B213" s="50">
        <f>'VaR Model'!D213</f>
        <v>1.9484248386635143E-2</v>
      </c>
      <c r="J213" s="42">
        <f>'VaR Model'!C213</f>
        <v>44876</v>
      </c>
      <c r="K213" s="71">
        <f>'VaR Model'!D213</f>
        <v>1.9484248386635143E-2</v>
      </c>
      <c r="L213">
        <f>Backtesting!D213</f>
        <v>0</v>
      </c>
      <c r="M213" s="7">
        <f>Backtesting!F213</f>
        <v>0</v>
      </c>
    </row>
    <row r="214" spans="1:13" x14ac:dyDescent="0.35">
      <c r="A214" s="42">
        <f>'VaR Model'!C214</f>
        <v>44879</v>
      </c>
      <c r="B214" s="50">
        <f>'VaR Model'!D214</f>
        <v>-5.6502903356550217E-3</v>
      </c>
      <c r="J214" s="42">
        <f>'VaR Model'!C214</f>
        <v>44879</v>
      </c>
      <c r="K214" s="71">
        <f>'VaR Model'!D214</f>
        <v>-5.6502903356550217E-3</v>
      </c>
      <c r="L214">
        <f>Backtesting!D214</f>
        <v>0</v>
      </c>
      <c r="M214" s="7">
        <f>Backtesting!F214</f>
        <v>0</v>
      </c>
    </row>
    <row r="215" spans="1:13" x14ac:dyDescent="0.35">
      <c r="A215" s="42">
        <f>'VaR Model'!C215</f>
        <v>44880</v>
      </c>
      <c r="B215" s="50">
        <f>'VaR Model'!D215</f>
        <v>2.6086193261831802E-3</v>
      </c>
      <c r="J215" s="42">
        <f>'VaR Model'!C215</f>
        <v>44880</v>
      </c>
      <c r="K215" s="71">
        <f>'VaR Model'!D215</f>
        <v>2.6086193261831802E-3</v>
      </c>
      <c r="L215">
        <f>Backtesting!D215</f>
        <v>0</v>
      </c>
      <c r="M215" s="7">
        <f>Backtesting!F215</f>
        <v>0</v>
      </c>
    </row>
    <row r="216" spans="1:13" x14ac:dyDescent="0.35">
      <c r="A216" s="42">
        <f>'VaR Model'!C216</f>
        <v>44881</v>
      </c>
      <c r="B216" s="50">
        <f>'VaR Model'!D216</f>
        <v>1.0555874011025273E-3</v>
      </c>
      <c r="J216" s="42">
        <f>'VaR Model'!C216</f>
        <v>44881</v>
      </c>
      <c r="K216" s="71">
        <f>'VaR Model'!D216</f>
        <v>1.0555874011025273E-3</v>
      </c>
      <c r="L216">
        <f>Backtesting!D216</f>
        <v>0</v>
      </c>
      <c r="M216" s="7">
        <f>Backtesting!F216</f>
        <v>0</v>
      </c>
    </row>
    <row r="217" spans="1:13" x14ac:dyDescent="0.35">
      <c r="A217" s="42">
        <f>'VaR Model'!C217</f>
        <v>44882</v>
      </c>
      <c r="B217" s="50">
        <f>'VaR Model'!D217</f>
        <v>-6.6807695748724019E-4</v>
      </c>
      <c r="J217" s="42">
        <f>'VaR Model'!C217</f>
        <v>44882</v>
      </c>
      <c r="K217" s="71">
        <f>'VaR Model'!D217</f>
        <v>-6.6807695748724019E-4</v>
      </c>
      <c r="L217">
        <f>Backtesting!D217</f>
        <v>0</v>
      </c>
      <c r="M217" s="7">
        <f>Backtesting!F217</f>
        <v>0</v>
      </c>
    </row>
    <row r="218" spans="1:13" x14ac:dyDescent="0.35">
      <c r="A218" s="42">
        <f>'VaR Model'!C218</f>
        <v>44883</v>
      </c>
      <c r="B218" s="50">
        <f>'VaR Model'!D218</f>
        <v>-1.1170791094353015E-3</v>
      </c>
      <c r="J218" s="42">
        <f>'VaR Model'!C218</f>
        <v>44883</v>
      </c>
      <c r="K218" s="71">
        <f>'VaR Model'!D218</f>
        <v>-1.1170791094353015E-3</v>
      </c>
      <c r="L218">
        <f>Backtesting!D218</f>
        <v>0</v>
      </c>
      <c r="M218" s="7">
        <f>Backtesting!F218</f>
        <v>0</v>
      </c>
    </row>
    <row r="219" spans="1:13" x14ac:dyDescent="0.35">
      <c r="A219" s="42">
        <f>'VaR Model'!C219</f>
        <v>44886</v>
      </c>
      <c r="B219" s="50">
        <f>'VaR Model'!D219</f>
        <v>-1.2477901868680393E-2</v>
      </c>
      <c r="J219" s="42">
        <f>'VaR Model'!C219</f>
        <v>44886</v>
      </c>
      <c r="K219" s="71">
        <f>'VaR Model'!D219</f>
        <v>-1.2477901868680393E-2</v>
      </c>
      <c r="L219">
        <f>Backtesting!D219</f>
        <v>0</v>
      </c>
      <c r="M219" s="7">
        <f>Backtesting!F219</f>
        <v>0</v>
      </c>
    </row>
    <row r="220" spans="1:13" x14ac:dyDescent="0.35">
      <c r="A220" s="42">
        <f>'VaR Model'!C220</f>
        <v>44887</v>
      </c>
      <c r="B220" s="50">
        <f>'VaR Model'!D220</f>
        <v>7.4488761770119573E-3</v>
      </c>
      <c r="J220" s="42">
        <f>'VaR Model'!C220</f>
        <v>44887</v>
      </c>
      <c r="K220" s="71">
        <f>'VaR Model'!D220</f>
        <v>7.4488761770119573E-3</v>
      </c>
      <c r="L220">
        <f>Backtesting!D220</f>
        <v>0</v>
      </c>
      <c r="M220" s="7">
        <f>Backtesting!F220</f>
        <v>0</v>
      </c>
    </row>
    <row r="221" spans="1:13" x14ac:dyDescent="0.35">
      <c r="A221" s="42">
        <f>'VaR Model'!C221</f>
        <v>44888</v>
      </c>
      <c r="B221" s="50">
        <f>'VaR Model'!D221</f>
        <v>-7.2221608856658671E-4</v>
      </c>
      <c r="J221" s="42">
        <f>'VaR Model'!C221</f>
        <v>44888</v>
      </c>
      <c r="K221" s="71">
        <f>'VaR Model'!D221</f>
        <v>-7.2221608856658671E-4</v>
      </c>
      <c r="L221">
        <f>Backtesting!D221</f>
        <v>0</v>
      </c>
      <c r="M221" s="7">
        <f>Backtesting!F221</f>
        <v>0</v>
      </c>
    </row>
    <row r="222" spans="1:13" x14ac:dyDescent="0.35">
      <c r="A222" s="42">
        <f>'VaR Model'!C222</f>
        <v>44889</v>
      </c>
      <c r="B222" s="50">
        <f>'VaR Model'!D222</f>
        <v>1.4822195633372755E-2</v>
      </c>
      <c r="J222" s="42">
        <f>'VaR Model'!C222</f>
        <v>44889</v>
      </c>
      <c r="K222" s="71">
        <f>'VaR Model'!D222</f>
        <v>1.4822195633372755E-2</v>
      </c>
      <c r="L222">
        <f>Backtesting!D222</f>
        <v>0</v>
      </c>
      <c r="M222" s="7">
        <f>Backtesting!F222</f>
        <v>0</v>
      </c>
    </row>
    <row r="223" spans="1:13" x14ac:dyDescent="0.35">
      <c r="A223" s="42">
        <f>'VaR Model'!C223</f>
        <v>44890</v>
      </c>
      <c r="B223" s="50">
        <f>'VaR Model'!D223</f>
        <v>2.1514757963375757E-3</v>
      </c>
      <c r="J223" s="42">
        <f>'VaR Model'!C223</f>
        <v>44890</v>
      </c>
      <c r="K223" s="71">
        <f>'VaR Model'!D223</f>
        <v>2.1514757963375757E-3</v>
      </c>
      <c r="L223">
        <f>Backtesting!D223</f>
        <v>0</v>
      </c>
      <c r="M223" s="7">
        <f>Backtesting!F223</f>
        <v>0</v>
      </c>
    </row>
    <row r="224" spans="1:13" x14ac:dyDescent="0.35">
      <c r="A224" s="42">
        <f>'VaR Model'!C224</f>
        <v>44893</v>
      </c>
      <c r="B224" s="50">
        <f>'VaR Model'!D224</f>
        <v>6.9563719734536903E-3</v>
      </c>
      <c r="J224" s="42">
        <f>'VaR Model'!C224</f>
        <v>44893</v>
      </c>
      <c r="K224" s="71">
        <f>'VaR Model'!D224</f>
        <v>6.9563719734536903E-3</v>
      </c>
      <c r="L224">
        <f>Backtesting!D224</f>
        <v>0</v>
      </c>
      <c r="M224" s="7">
        <f>Backtesting!F224</f>
        <v>0</v>
      </c>
    </row>
    <row r="225" spans="1:13" x14ac:dyDescent="0.35">
      <c r="A225" s="42">
        <f>'VaR Model'!C225</f>
        <v>44894</v>
      </c>
      <c r="B225" s="50">
        <f>'VaR Model'!D225</f>
        <v>4.4621719396936328E-3</v>
      </c>
      <c r="J225" s="42">
        <f>'VaR Model'!C225</f>
        <v>44894</v>
      </c>
      <c r="K225" s="71">
        <f>'VaR Model'!D225</f>
        <v>4.4621719396936328E-3</v>
      </c>
      <c r="L225">
        <f>Backtesting!D225</f>
        <v>0</v>
      </c>
      <c r="M225" s="7">
        <f>Backtesting!F225</f>
        <v>0</v>
      </c>
    </row>
    <row r="226" spans="1:13" x14ac:dyDescent="0.35">
      <c r="A226" s="42">
        <f>'VaR Model'!C226</f>
        <v>44895</v>
      </c>
      <c r="B226" s="50">
        <f>'VaR Model'!D226</f>
        <v>1.6942807830830993E-3</v>
      </c>
      <c r="J226" s="42">
        <f>'VaR Model'!C226</f>
        <v>44895</v>
      </c>
      <c r="K226" s="71">
        <f>'VaR Model'!D226</f>
        <v>1.6942807830830993E-3</v>
      </c>
      <c r="L226">
        <f>Backtesting!D226</f>
        <v>0</v>
      </c>
      <c r="M226" s="7">
        <f>Backtesting!F226</f>
        <v>0</v>
      </c>
    </row>
    <row r="227" spans="1:13" x14ac:dyDescent="0.35">
      <c r="A227" s="42">
        <f>'VaR Model'!C227</f>
        <v>44896</v>
      </c>
      <c r="B227" s="50">
        <f>'VaR Model'!D227</f>
        <v>4.0940399773432019E-3</v>
      </c>
      <c r="J227" s="42">
        <f>'VaR Model'!C227</f>
        <v>44896</v>
      </c>
      <c r="K227" s="71">
        <f>'VaR Model'!D227</f>
        <v>4.0940399773432019E-3</v>
      </c>
      <c r="L227">
        <f>Backtesting!D227</f>
        <v>0</v>
      </c>
      <c r="M227" s="7">
        <f>Backtesting!F227</f>
        <v>0</v>
      </c>
    </row>
    <row r="228" spans="1:13" x14ac:dyDescent="0.35">
      <c r="A228" s="42">
        <f>'VaR Model'!C228</f>
        <v>44897</v>
      </c>
      <c r="B228" s="50">
        <f>'VaR Model'!D228</f>
        <v>-7.9958300561580251E-3</v>
      </c>
      <c r="J228" s="42">
        <f>'VaR Model'!C228</f>
        <v>44897</v>
      </c>
      <c r="K228" s="71">
        <f>'VaR Model'!D228</f>
        <v>-7.9958300561580251E-3</v>
      </c>
      <c r="L228">
        <f>Backtesting!D228</f>
        <v>0</v>
      </c>
      <c r="M228" s="7">
        <f>Backtesting!F228</f>
        <v>0</v>
      </c>
    </row>
    <row r="229" spans="1:13" x14ac:dyDescent="0.35">
      <c r="A229" s="42">
        <f>'VaR Model'!C229</f>
        <v>44900</v>
      </c>
      <c r="B229" s="50">
        <f>'VaR Model'!D229</f>
        <v>-3.0791024121953128E-3</v>
      </c>
      <c r="J229" s="42">
        <f>'VaR Model'!C229</f>
        <v>44900</v>
      </c>
      <c r="K229" s="71">
        <f>'VaR Model'!D229</f>
        <v>-3.0791024121953128E-3</v>
      </c>
      <c r="L229">
        <f>Backtesting!D229</f>
        <v>0</v>
      </c>
      <c r="M229" s="7">
        <f>Backtesting!F229</f>
        <v>0</v>
      </c>
    </row>
    <row r="230" spans="1:13" x14ac:dyDescent="0.35">
      <c r="A230" s="42">
        <f>'VaR Model'!C230</f>
        <v>44901</v>
      </c>
      <c r="B230" s="50">
        <f>'VaR Model'!D230</f>
        <v>-7.1438082575685019E-3</v>
      </c>
      <c r="J230" s="42">
        <f>'VaR Model'!C230</f>
        <v>44901</v>
      </c>
      <c r="K230" s="71">
        <f>'VaR Model'!D230</f>
        <v>-7.1438082575685019E-3</v>
      </c>
      <c r="L230">
        <f>Backtesting!D230</f>
        <v>0</v>
      </c>
      <c r="M230" s="7">
        <f>Backtesting!F230</f>
        <v>0</v>
      </c>
    </row>
    <row r="231" spans="1:13" x14ac:dyDescent="0.35">
      <c r="A231" s="42">
        <f>'VaR Model'!C231</f>
        <v>44902</v>
      </c>
      <c r="B231" s="50">
        <f>'VaR Model'!D231</f>
        <v>-2.6245170551156432E-3</v>
      </c>
      <c r="J231" s="42">
        <f>'VaR Model'!C231</f>
        <v>44902</v>
      </c>
      <c r="K231" s="71">
        <f>'VaR Model'!D231</f>
        <v>-2.6245170551156432E-3</v>
      </c>
      <c r="L231">
        <f>Backtesting!D231</f>
        <v>0</v>
      </c>
      <c r="M231" s="7">
        <f>Backtesting!F231</f>
        <v>0</v>
      </c>
    </row>
    <row r="232" spans="1:13" x14ac:dyDescent="0.35">
      <c r="A232" s="42">
        <f>'VaR Model'!C232</f>
        <v>44903</v>
      </c>
      <c r="B232" s="50">
        <f>'VaR Model'!D232</f>
        <v>1.0373740824376845E-3</v>
      </c>
      <c r="J232" s="42">
        <f>'VaR Model'!C232</f>
        <v>44903</v>
      </c>
      <c r="K232" s="71">
        <f>'VaR Model'!D232</f>
        <v>1.0373740824376845E-3</v>
      </c>
      <c r="L232">
        <f>Backtesting!D232</f>
        <v>0</v>
      </c>
      <c r="M232" s="7">
        <f>Backtesting!F232</f>
        <v>0</v>
      </c>
    </row>
    <row r="233" spans="1:13" x14ac:dyDescent="0.35">
      <c r="A233" s="42">
        <f>'VaR Model'!C233</f>
        <v>44904</v>
      </c>
      <c r="B233" s="50">
        <f>'VaR Model'!D233</f>
        <v>-1.1576182729727364E-2</v>
      </c>
      <c r="J233" s="42">
        <f>'VaR Model'!C233</f>
        <v>44904</v>
      </c>
      <c r="K233" s="71">
        <f>'VaR Model'!D233</f>
        <v>-1.1576182729727364E-2</v>
      </c>
      <c r="L233">
        <f>Backtesting!D233</f>
        <v>0</v>
      </c>
      <c r="M233" s="7">
        <f>Backtesting!F233</f>
        <v>0</v>
      </c>
    </row>
    <row r="234" spans="1:13" x14ac:dyDescent="0.35">
      <c r="A234" s="42">
        <f>'VaR Model'!C234</f>
        <v>44907</v>
      </c>
      <c r="B234" s="50">
        <f>'VaR Model'!D234</f>
        <v>-1.7765617417830266E-3</v>
      </c>
      <c r="J234" s="42">
        <f>'VaR Model'!C234</f>
        <v>44907</v>
      </c>
      <c r="K234" s="71">
        <f>'VaR Model'!D234</f>
        <v>-1.7765617417830266E-3</v>
      </c>
      <c r="L234">
        <f>Backtesting!D234</f>
        <v>0</v>
      </c>
      <c r="M234" s="7">
        <f>Backtesting!F234</f>
        <v>0</v>
      </c>
    </row>
    <row r="235" spans="1:13" x14ac:dyDescent="0.35">
      <c r="A235" s="42">
        <f>'VaR Model'!C235</f>
        <v>44908</v>
      </c>
      <c r="B235" s="50">
        <f>'VaR Model'!D235</f>
        <v>8.8265273952832686E-3</v>
      </c>
      <c r="J235" s="42">
        <f>'VaR Model'!C235</f>
        <v>44908</v>
      </c>
      <c r="K235" s="71">
        <f>'VaR Model'!D235</f>
        <v>8.8265273952832686E-3</v>
      </c>
      <c r="L235">
        <f>Backtesting!D235</f>
        <v>0</v>
      </c>
      <c r="M235" s="7">
        <f>Backtesting!F235</f>
        <v>0</v>
      </c>
    </row>
    <row r="236" spans="1:13" x14ac:dyDescent="0.35">
      <c r="A236" s="42">
        <f>'VaR Model'!C236</f>
        <v>44909</v>
      </c>
      <c r="B236" s="50">
        <f>'VaR Model'!D236</f>
        <v>-3.4477121731184919E-4</v>
      </c>
      <c r="J236" s="42">
        <f>'VaR Model'!C236</f>
        <v>44909</v>
      </c>
      <c r="K236" s="71">
        <f>'VaR Model'!D236</f>
        <v>-3.4477121731184919E-4</v>
      </c>
      <c r="L236">
        <f>Backtesting!D236</f>
        <v>0</v>
      </c>
      <c r="M236" s="7">
        <f>Backtesting!F236</f>
        <v>0</v>
      </c>
    </row>
    <row r="237" spans="1:13" x14ac:dyDescent="0.35">
      <c r="A237" s="42">
        <f>'VaR Model'!C237</f>
        <v>44910</v>
      </c>
      <c r="B237" s="50">
        <f>'VaR Model'!D237</f>
        <v>-1.8125700713524557E-2</v>
      </c>
      <c r="J237" s="42">
        <f>'VaR Model'!C237</f>
        <v>44910</v>
      </c>
      <c r="K237" s="71">
        <f>'VaR Model'!D237</f>
        <v>-1.8125700713524557E-2</v>
      </c>
      <c r="L237">
        <f>Backtesting!D237</f>
        <v>0</v>
      </c>
      <c r="M237" s="7">
        <f>Backtesting!F237</f>
        <v>1</v>
      </c>
    </row>
    <row r="238" spans="1:13" x14ac:dyDescent="0.35">
      <c r="A238" s="42">
        <f>'VaR Model'!C238</f>
        <v>44911</v>
      </c>
      <c r="B238" s="50">
        <f>'VaR Model'!D238</f>
        <v>-1.1069190906067514E-2</v>
      </c>
      <c r="J238" s="42">
        <f>'VaR Model'!C238</f>
        <v>44911</v>
      </c>
      <c r="K238" s="71">
        <f>'VaR Model'!D238</f>
        <v>-1.1069190906067514E-2</v>
      </c>
      <c r="L238">
        <f>Backtesting!D238</f>
        <v>0</v>
      </c>
      <c r="M238" s="7">
        <f>Backtesting!F238</f>
        <v>0</v>
      </c>
    </row>
    <row r="239" spans="1:13" x14ac:dyDescent="0.35">
      <c r="A239" s="42">
        <f>'VaR Model'!C239</f>
        <v>44914</v>
      </c>
      <c r="B239" s="50">
        <f>'VaR Model'!D239</f>
        <v>-8.6452284179210359E-3</v>
      </c>
      <c r="J239" s="42">
        <f>'VaR Model'!C239</f>
        <v>44914</v>
      </c>
      <c r="K239" s="71">
        <f>'VaR Model'!D239</f>
        <v>-8.6452284179210359E-3</v>
      </c>
      <c r="L239">
        <f>Backtesting!D239</f>
        <v>0</v>
      </c>
      <c r="M239" s="7">
        <f>Backtesting!F239</f>
        <v>0</v>
      </c>
    </row>
    <row r="240" spans="1:13" x14ac:dyDescent="0.35">
      <c r="A240" s="42">
        <f>'VaR Model'!C240</f>
        <v>44915</v>
      </c>
      <c r="B240" s="50">
        <f>'VaR Model'!D240</f>
        <v>4.832508264683435E-3</v>
      </c>
      <c r="J240" s="42">
        <f>'VaR Model'!C240</f>
        <v>44915</v>
      </c>
      <c r="K240" s="71">
        <f>'VaR Model'!D240</f>
        <v>4.832508264683435E-3</v>
      </c>
      <c r="L240">
        <f>Backtesting!D240</f>
        <v>0</v>
      </c>
      <c r="M240" s="7">
        <f>Backtesting!F240</f>
        <v>0</v>
      </c>
    </row>
    <row r="241" spans="1:13" x14ac:dyDescent="0.35">
      <c r="A241" s="42">
        <f>'VaR Model'!C241</f>
        <v>44916</v>
      </c>
      <c r="B241" s="50">
        <f>'VaR Model'!D241</f>
        <v>-7.8969627505804559E-3</v>
      </c>
      <c r="J241" s="42">
        <f>'VaR Model'!C241</f>
        <v>44916</v>
      </c>
      <c r="K241" s="71">
        <f>'VaR Model'!D241</f>
        <v>-7.8969627505804559E-3</v>
      </c>
      <c r="L241">
        <f>Backtesting!D241</f>
        <v>0</v>
      </c>
      <c r="M241" s="7">
        <f>Backtesting!F241</f>
        <v>0</v>
      </c>
    </row>
    <row r="242" spans="1:13" x14ac:dyDescent="0.35">
      <c r="A242" s="42">
        <f>'VaR Model'!C242</f>
        <v>44917</v>
      </c>
      <c r="B242" s="50">
        <f>'VaR Model'!D242</f>
        <v>-1.3828365493440014E-3</v>
      </c>
      <c r="J242" s="42">
        <f>'VaR Model'!C242</f>
        <v>44917</v>
      </c>
      <c r="K242" s="71">
        <f>'VaR Model'!D242</f>
        <v>-1.3828365493440014E-3</v>
      </c>
      <c r="L242">
        <f>Backtesting!D242</f>
        <v>0</v>
      </c>
      <c r="M242" s="7">
        <f>Backtesting!F242</f>
        <v>0</v>
      </c>
    </row>
    <row r="243" spans="1:13" x14ac:dyDescent="0.35">
      <c r="A243" s="42">
        <f>'VaR Model'!C243</f>
        <v>44918</v>
      </c>
      <c r="B243" s="50">
        <f>'VaR Model'!D243</f>
        <v>-1.7340287351125319E-2</v>
      </c>
      <c r="J243" s="42">
        <f>'VaR Model'!C243</f>
        <v>44918</v>
      </c>
      <c r="K243" s="71">
        <f>'VaR Model'!D243</f>
        <v>-1.7340287351125319E-2</v>
      </c>
      <c r="L243">
        <f>Backtesting!D243</f>
        <v>0</v>
      </c>
      <c r="M243" s="7">
        <f>Backtesting!F243</f>
        <v>1</v>
      </c>
    </row>
    <row r="244" spans="1:13" x14ac:dyDescent="0.35">
      <c r="A244" s="42">
        <f>'VaR Model'!C244</f>
        <v>44921</v>
      </c>
      <c r="B244" s="50">
        <f>'VaR Model'!D244</f>
        <v>1.1968972296523096E-2</v>
      </c>
      <c r="J244" s="42">
        <f>'VaR Model'!C244</f>
        <v>44921</v>
      </c>
      <c r="K244" s="71">
        <f>'VaR Model'!D244</f>
        <v>1.1968972296523096E-2</v>
      </c>
      <c r="L244">
        <f>Backtesting!D244</f>
        <v>0</v>
      </c>
      <c r="M244" s="7">
        <f>Backtesting!F244</f>
        <v>0</v>
      </c>
    </row>
    <row r="245" spans="1:13" x14ac:dyDescent="0.35">
      <c r="A245" s="42">
        <f>'VaR Model'!C245</f>
        <v>44922</v>
      </c>
      <c r="B245" s="50">
        <f>'VaR Model'!D245</f>
        <v>4.4732887896253275E-3</v>
      </c>
      <c r="J245" s="42">
        <f>'VaR Model'!C245</f>
        <v>44922</v>
      </c>
      <c r="K245" s="71">
        <f>'VaR Model'!D245</f>
        <v>4.4732887896253275E-3</v>
      </c>
      <c r="L245">
        <f>Backtesting!D245</f>
        <v>0</v>
      </c>
      <c r="M245" s="7">
        <f>Backtesting!F245</f>
        <v>0</v>
      </c>
    </row>
    <row r="246" spans="1:13" x14ac:dyDescent="0.35">
      <c r="A246" s="42">
        <f>'VaR Model'!C246</f>
        <v>44923</v>
      </c>
      <c r="B246" s="50">
        <f>'VaR Model'!D246</f>
        <v>-4.131067169196596E-4</v>
      </c>
      <c r="J246" s="42">
        <f>'VaR Model'!C246</f>
        <v>44923</v>
      </c>
      <c r="K246" s="71">
        <f>'VaR Model'!D246</f>
        <v>-4.131067169196596E-4</v>
      </c>
      <c r="L246">
        <f>Backtesting!D246</f>
        <v>0</v>
      </c>
      <c r="M246" s="7">
        <f>Backtesting!F246</f>
        <v>0</v>
      </c>
    </row>
    <row r="247" spans="1:13" x14ac:dyDescent="0.35">
      <c r="A247" s="42">
        <f>'VaR Model'!C247</f>
        <v>44924</v>
      </c>
      <c r="B247" s="50">
        <f>'VaR Model'!D247</f>
        <v>4.1818490414450016E-3</v>
      </c>
      <c r="J247" s="42">
        <f>'VaR Model'!C247</f>
        <v>44924</v>
      </c>
      <c r="K247" s="71">
        <f>'VaR Model'!D247</f>
        <v>4.1818490414450016E-3</v>
      </c>
      <c r="L247">
        <f>Backtesting!D247</f>
        <v>0</v>
      </c>
      <c r="M247" s="7">
        <f>Backtesting!F247</f>
        <v>0</v>
      </c>
    </row>
    <row r="248" spans="1:13" x14ac:dyDescent="0.35">
      <c r="A248" s="42">
        <f>'VaR Model'!C248</f>
        <v>44925</v>
      </c>
      <c r="B248" s="50">
        <f>'VaR Model'!D248</f>
        <v>-7.7709640689340486E-3</v>
      </c>
      <c r="J248" s="42">
        <f>'VaR Model'!C248</f>
        <v>44925</v>
      </c>
      <c r="K248" s="71">
        <f>'VaR Model'!D248</f>
        <v>-7.7709640689340486E-3</v>
      </c>
      <c r="L248">
        <f>Backtesting!D248</f>
        <v>0</v>
      </c>
      <c r="M248" s="7">
        <f>Backtesting!F248</f>
        <v>0</v>
      </c>
    </row>
    <row r="249" spans="1:13" x14ac:dyDescent="0.35">
      <c r="A249" s="42">
        <f>'VaR Model'!C249</f>
        <v>44928</v>
      </c>
      <c r="B249" s="50">
        <f>'VaR Model'!D249</f>
        <v>7.9852263128127599E-3</v>
      </c>
      <c r="J249" s="42">
        <f>'VaR Model'!C249</f>
        <v>44928</v>
      </c>
      <c r="K249" s="71">
        <f>'VaR Model'!D249</f>
        <v>7.9852263128127599E-3</v>
      </c>
      <c r="L249">
        <f>Backtesting!D249</f>
        <v>0</v>
      </c>
      <c r="M249" s="7">
        <f>Backtesting!F249</f>
        <v>0</v>
      </c>
    </row>
    <row r="250" spans="1:13" x14ac:dyDescent="0.35">
      <c r="A250" s="42">
        <f>'VaR Model'!C250</f>
        <v>44929</v>
      </c>
      <c r="B250" s="50">
        <f>'VaR Model'!D250</f>
        <v>8.2766431466581173E-5</v>
      </c>
      <c r="J250" s="42">
        <f>'VaR Model'!C250</f>
        <v>44929</v>
      </c>
      <c r="K250" s="71">
        <f>'VaR Model'!D250</f>
        <v>8.2766431466581173E-5</v>
      </c>
      <c r="L250">
        <f>Backtesting!D250</f>
        <v>0</v>
      </c>
      <c r="M250" s="7">
        <f>Backtesting!F250</f>
        <v>0</v>
      </c>
    </row>
    <row r="251" spans="1:13" x14ac:dyDescent="0.35">
      <c r="A251" s="42">
        <f>'VaR Model'!C251</f>
        <v>44930</v>
      </c>
      <c r="B251" s="50">
        <f>'VaR Model'!D251</f>
        <v>-9.5103761087030926E-3</v>
      </c>
      <c r="J251" s="42">
        <f>'VaR Model'!C251</f>
        <v>44930</v>
      </c>
      <c r="K251" s="71">
        <f>'VaR Model'!D251</f>
        <v>-9.5103761087030926E-3</v>
      </c>
      <c r="L251">
        <f>Backtesting!D251</f>
        <v>0</v>
      </c>
      <c r="M251" s="7">
        <f>Backtesting!F251</f>
        <v>0</v>
      </c>
    </row>
    <row r="252" spans="1:13" x14ac:dyDescent="0.35">
      <c r="A252" s="42">
        <f>'VaR Model'!C252</f>
        <v>44931</v>
      </c>
      <c r="B252" s="50">
        <f>'VaR Model'!D252</f>
        <v>-3.7892811982743477E-3</v>
      </c>
      <c r="J252" s="42">
        <f>'VaR Model'!C252</f>
        <v>44931</v>
      </c>
      <c r="K252" s="71">
        <f>'VaR Model'!D252</f>
        <v>-3.7892811982743477E-3</v>
      </c>
      <c r="L252">
        <f>Backtesting!D252</f>
        <v>0</v>
      </c>
      <c r="M252" s="7">
        <f>Backtesting!F252</f>
        <v>0</v>
      </c>
    </row>
    <row r="253" spans="1:13" x14ac:dyDescent="0.35">
      <c r="A253" s="42">
        <f>'VaR Model'!C253</f>
        <v>44932</v>
      </c>
      <c r="B253" s="50">
        <f>'VaR Model'!D253</f>
        <v>-9.0638039922522444E-3</v>
      </c>
      <c r="J253" s="42">
        <f>'VaR Model'!C253</f>
        <v>44932</v>
      </c>
      <c r="K253" s="71">
        <f>'VaR Model'!D253</f>
        <v>-9.0638039922522444E-3</v>
      </c>
      <c r="L253">
        <f>Backtesting!D253</f>
        <v>0</v>
      </c>
      <c r="M253" s="7">
        <f>Backtesting!F253</f>
        <v>0</v>
      </c>
    </row>
    <row r="254" spans="1:13" x14ac:dyDescent="0.35">
      <c r="A254" s="42">
        <f>'VaR Model'!C254</f>
        <v>44935</v>
      </c>
      <c r="B254" s="50">
        <f>'VaR Model'!D254</f>
        <v>1.873811637325546E-2</v>
      </c>
      <c r="J254" s="42">
        <f>'VaR Model'!C254</f>
        <v>44935</v>
      </c>
      <c r="K254" s="71">
        <f>'VaR Model'!D254</f>
        <v>1.873811637325546E-2</v>
      </c>
      <c r="L254">
        <f>Backtesting!D254</f>
        <v>0</v>
      </c>
      <c r="M254" s="7">
        <f>Backtesting!F254</f>
        <v>0</v>
      </c>
    </row>
    <row r="255" spans="1:13" x14ac:dyDescent="0.35">
      <c r="A255" s="42">
        <f>'VaR Model'!C255</f>
        <v>44936</v>
      </c>
      <c r="B255" s="50">
        <f>'VaR Model'!D255</f>
        <v>-1.253739649388037E-2</v>
      </c>
      <c r="J255" s="42">
        <f>'VaR Model'!C255</f>
        <v>44936</v>
      </c>
      <c r="K255" s="71">
        <f>'VaR Model'!D255</f>
        <v>-1.253739649388037E-2</v>
      </c>
      <c r="L255">
        <f>Backtesting!D255</f>
        <v>0</v>
      </c>
      <c r="M255" s="7">
        <f>Backtesting!F255</f>
        <v>0</v>
      </c>
    </row>
    <row r="256" spans="1:13" x14ac:dyDescent="0.35">
      <c r="A256" s="42">
        <f>'VaR Model'!C256</f>
        <v>44937</v>
      </c>
      <c r="B256" s="50">
        <f>'VaR Model'!D256</f>
        <v>4.0548345681912083E-4</v>
      </c>
      <c r="J256" s="42">
        <f>'VaR Model'!C256</f>
        <v>44937</v>
      </c>
      <c r="K256" s="71">
        <f>'VaR Model'!D256</f>
        <v>4.0548345681912083E-4</v>
      </c>
      <c r="L256">
        <f>Backtesting!D256</f>
        <v>0</v>
      </c>
      <c r="M256" s="7">
        <f>Backtesting!F256</f>
        <v>0</v>
      </c>
    </row>
    <row r="257" spans="1:13" x14ac:dyDescent="0.35">
      <c r="A257" s="42">
        <f>'VaR Model'!C257</f>
        <v>44938</v>
      </c>
      <c r="B257" s="50">
        <f>'VaR Model'!D257</f>
        <v>-5.245546935595276E-3</v>
      </c>
      <c r="J257" s="42">
        <f>'VaR Model'!C257</f>
        <v>44938</v>
      </c>
      <c r="K257" s="71">
        <f>'VaR Model'!D257</f>
        <v>-5.245546935595276E-3</v>
      </c>
      <c r="L257">
        <f>Backtesting!D257</f>
        <v>0</v>
      </c>
      <c r="M257" s="7">
        <f>Backtesting!F257</f>
        <v>0</v>
      </c>
    </row>
    <row r="258" spans="1:13" x14ac:dyDescent="0.35">
      <c r="A258" s="42">
        <f>'VaR Model'!C258</f>
        <v>44939</v>
      </c>
      <c r="B258" s="50">
        <f>'VaR Model'!D258</f>
        <v>7.4506755881513431E-3</v>
      </c>
      <c r="J258" s="42">
        <f>'VaR Model'!C258</f>
        <v>44939</v>
      </c>
      <c r="K258" s="71">
        <f>'VaR Model'!D258</f>
        <v>7.4506755881513431E-3</v>
      </c>
      <c r="L258">
        <f>Backtesting!D258</f>
        <v>0</v>
      </c>
      <c r="M258" s="7">
        <f>Backtesting!F258</f>
        <v>0</v>
      </c>
    </row>
    <row r="259" spans="1:13" x14ac:dyDescent="0.35">
      <c r="A259" s="42">
        <f>'VaR Model'!C259</f>
        <v>44942</v>
      </c>
      <c r="B259" s="50">
        <f>'VaR Model'!D259</f>
        <v>1.558493607736842E-3</v>
      </c>
      <c r="J259" s="42">
        <f>'VaR Model'!C259</f>
        <v>44942</v>
      </c>
      <c r="K259" s="71">
        <f>'VaR Model'!D259</f>
        <v>1.558493607736842E-3</v>
      </c>
      <c r="L259">
        <f>Backtesting!D259</f>
        <v>0</v>
      </c>
      <c r="M259" s="7">
        <f>Backtesting!F259</f>
        <v>0</v>
      </c>
    </row>
    <row r="260" spans="1:13" x14ac:dyDescent="0.35">
      <c r="A260" s="42">
        <f>'VaR Model'!C260</f>
        <v>44943</v>
      </c>
      <c r="B260" s="50">
        <f>'VaR Model'!D260</f>
        <v>8.5056855291694381E-3</v>
      </c>
      <c r="J260" s="42">
        <f>'VaR Model'!C260</f>
        <v>44943</v>
      </c>
      <c r="K260" s="71">
        <f>'VaR Model'!D260</f>
        <v>8.5056855291694381E-3</v>
      </c>
      <c r="L260">
        <f>Backtesting!D260</f>
        <v>0</v>
      </c>
      <c r="M260" s="7">
        <f>Backtesting!F260</f>
        <v>0</v>
      </c>
    </row>
    <row r="261" spans="1:13" x14ac:dyDescent="0.35">
      <c r="A261" s="42">
        <f>'VaR Model'!C261</f>
        <v>44944</v>
      </c>
      <c r="B261" s="50">
        <f>'VaR Model'!D261</f>
        <v>3.5581204983450073E-3</v>
      </c>
      <c r="J261" s="42">
        <f>'VaR Model'!C261</f>
        <v>44944</v>
      </c>
      <c r="K261" s="71">
        <f>'VaR Model'!D261</f>
        <v>3.5581204983450073E-3</v>
      </c>
      <c r="L261">
        <f>Backtesting!D261</f>
        <v>0</v>
      </c>
      <c r="M261" s="7">
        <f>Backtesting!F261</f>
        <v>0</v>
      </c>
    </row>
    <row r="262" spans="1:13" x14ac:dyDescent="0.35">
      <c r="A262" s="42">
        <f>'VaR Model'!C262</f>
        <v>44945</v>
      </c>
      <c r="B262" s="50">
        <f>'VaR Model'!D262</f>
        <v>-4.3271213793046204E-3</v>
      </c>
      <c r="J262" s="42">
        <f>'VaR Model'!C262</f>
        <v>44945</v>
      </c>
      <c r="K262" s="71">
        <f>'VaR Model'!D262</f>
        <v>-4.3271213793046204E-3</v>
      </c>
      <c r="L262">
        <f>Backtesting!D262</f>
        <v>0</v>
      </c>
      <c r="M262" s="7">
        <f>Backtesting!F262</f>
        <v>0</v>
      </c>
    </row>
    <row r="263" spans="1:13" x14ac:dyDescent="0.35">
      <c r="A263" s="42">
        <f>'VaR Model'!C263</f>
        <v>44946</v>
      </c>
      <c r="B263" s="50">
        <f>'VaR Model'!D263</f>
        <v>-2.2890152949827706E-3</v>
      </c>
      <c r="J263" s="42">
        <f>'VaR Model'!C263</f>
        <v>44946</v>
      </c>
      <c r="K263" s="71">
        <f>'VaR Model'!D263</f>
        <v>-2.2890152949827706E-3</v>
      </c>
      <c r="L263">
        <f>Backtesting!D263</f>
        <v>0</v>
      </c>
      <c r="M263" s="7">
        <f>Backtesting!F263</f>
        <v>0</v>
      </c>
    </row>
    <row r="264" spans="1:13" x14ac:dyDescent="0.35">
      <c r="A264" s="42">
        <f>'VaR Model'!C264</f>
        <v>44949</v>
      </c>
      <c r="B264" s="50">
        <f>'VaR Model'!D264</f>
        <v>7.1466097525535186E-3</v>
      </c>
      <c r="J264" s="42">
        <f>'VaR Model'!C264</f>
        <v>44949</v>
      </c>
      <c r="K264" s="71">
        <f>'VaR Model'!D264</f>
        <v>7.1466097525535186E-3</v>
      </c>
      <c r="L264">
        <f>Backtesting!D264</f>
        <v>0</v>
      </c>
      <c r="M264" s="7">
        <f>Backtesting!F264</f>
        <v>0</v>
      </c>
    </row>
    <row r="265" spans="1:13" x14ac:dyDescent="0.35">
      <c r="A265" s="42">
        <f>'VaR Model'!C265</f>
        <v>44950</v>
      </c>
      <c r="B265" s="50">
        <f>'VaR Model'!D265</f>
        <v>1.0614376673227953E-3</v>
      </c>
      <c r="J265" s="42">
        <f>'VaR Model'!C265</f>
        <v>44950</v>
      </c>
      <c r="K265" s="71">
        <f>'VaR Model'!D265</f>
        <v>1.0614376673227953E-3</v>
      </c>
      <c r="L265">
        <f>Backtesting!D265</f>
        <v>0</v>
      </c>
      <c r="M265" s="7">
        <f>Backtesting!F265</f>
        <v>0</v>
      </c>
    </row>
    <row r="266" spans="1:13" x14ac:dyDescent="0.35">
      <c r="A266" s="42">
        <f>'VaR Model'!C266</f>
        <v>44951</v>
      </c>
      <c r="B266" s="50">
        <f>'VaR Model'!D266</f>
        <v>-7.7207723018864402E-3</v>
      </c>
      <c r="J266" s="42">
        <f>'VaR Model'!C266</f>
        <v>44951</v>
      </c>
      <c r="K266" s="71">
        <f>'VaR Model'!D266</f>
        <v>-7.7207723018864402E-3</v>
      </c>
      <c r="L266">
        <f>Backtesting!D266</f>
        <v>0</v>
      </c>
      <c r="M266" s="7">
        <f>Backtesting!F266</f>
        <v>0</v>
      </c>
    </row>
    <row r="267" spans="1:13" x14ac:dyDescent="0.35">
      <c r="A267" s="42">
        <f>'VaR Model'!C267</f>
        <v>44953</v>
      </c>
      <c r="B267" s="50">
        <f>'VaR Model'!D267</f>
        <v>-1.3210297022492507E-2</v>
      </c>
      <c r="J267" s="42">
        <f>'VaR Model'!C267</f>
        <v>44953</v>
      </c>
      <c r="K267" s="71">
        <f>'VaR Model'!D267</f>
        <v>-1.3210297022492507E-2</v>
      </c>
      <c r="L267">
        <f>Backtesting!D267</f>
        <v>0</v>
      </c>
      <c r="M267" s="7">
        <f>Backtesting!F267</f>
        <v>0</v>
      </c>
    </row>
    <row r="268" spans="1:13" x14ac:dyDescent="0.35">
      <c r="A268" s="42">
        <f>'VaR Model'!C268</f>
        <v>44956</v>
      </c>
      <c r="B268" s="50">
        <f>'VaR Model'!D268</f>
        <v>6.6387663269636748E-3</v>
      </c>
      <c r="J268" s="42">
        <f>'VaR Model'!C268</f>
        <v>44956</v>
      </c>
      <c r="K268" s="71">
        <f>'VaR Model'!D268</f>
        <v>6.6387663269636748E-3</v>
      </c>
      <c r="L268">
        <f>Backtesting!D268</f>
        <v>0</v>
      </c>
      <c r="M268" s="7">
        <f>Backtesting!F268</f>
        <v>0</v>
      </c>
    </row>
    <row r="269" spans="1:13" x14ac:dyDescent="0.35">
      <c r="A269" s="42">
        <f>'VaR Model'!C269</f>
        <v>44957</v>
      </c>
      <c r="B269" s="50">
        <f>'VaR Model'!D269</f>
        <v>7.9066647185736805E-4</v>
      </c>
      <c r="J269" s="42">
        <f>'VaR Model'!C269</f>
        <v>44957</v>
      </c>
      <c r="K269" s="71">
        <f>'VaR Model'!D269</f>
        <v>7.9066647185736805E-4</v>
      </c>
      <c r="L269">
        <f>Backtesting!D269</f>
        <v>0</v>
      </c>
      <c r="M269" s="7">
        <f>Backtesting!F269</f>
        <v>0</v>
      </c>
    </row>
    <row r="270" spans="1:13" x14ac:dyDescent="0.35">
      <c r="A270" s="42">
        <f>'VaR Model'!C270</f>
        <v>44958</v>
      </c>
      <c r="B270" s="50">
        <f>'VaR Model'!D270</f>
        <v>1.2890281442071612E-2</v>
      </c>
      <c r="J270" s="42">
        <f>'VaR Model'!C270</f>
        <v>44958</v>
      </c>
      <c r="K270" s="71">
        <f>'VaR Model'!D270</f>
        <v>1.2890281442071612E-2</v>
      </c>
      <c r="L270">
        <f>Backtesting!D270</f>
        <v>0</v>
      </c>
      <c r="M270" s="7">
        <f>Backtesting!F270</f>
        <v>0</v>
      </c>
    </row>
    <row r="271" spans="1:13" x14ac:dyDescent="0.35">
      <c r="A271" s="42">
        <f>'VaR Model'!C271</f>
        <v>44959</v>
      </c>
      <c r="B271" s="50">
        <f>'VaR Model'!D271</f>
        <v>1.7718530696038182E-2</v>
      </c>
      <c r="J271" s="42">
        <f>'VaR Model'!C271</f>
        <v>44959</v>
      </c>
      <c r="K271" s="71">
        <f>'VaR Model'!D271</f>
        <v>1.7718530696038182E-2</v>
      </c>
      <c r="L271">
        <f>Backtesting!D271</f>
        <v>0</v>
      </c>
      <c r="M271" s="7">
        <f>Backtesting!F271</f>
        <v>0</v>
      </c>
    </row>
    <row r="272" spans="1:13" x14ac:dyDescent="0.35">
      <c r="A272" s="42">
        <f>'VaR Model'!C272</f>
        <v>44960</v>
      </c>
      <c r="B272" s="50">
        <f>'VaR Model'!D272</f>
        <v>5.8507462037771484E-3</v>
      </c>
      <c r="J272" s="42">
        <f>'VaR Model'!C272</f>
        <v>44960</v>
      </c>
      <c r="K272" s="71">
        <f>'VaR Model'!D272</f>
        <v>5.8507462037771484E-3</v>
      </c>
      <c r="L272">
        <f>Backtesting!D272</f>
        <v>0</v>
      </c>
      <c r="M272" s="7">
        <f>Backtesting!F272</f>
        <v>0</v>
      </c>
    </row>
    <row r="273" spans="1:13" x14ac:dyDescent="0.35">
      <c r="A273" s="42">
        <f>'VaR Model'!C273</f>
        <v>44963</v>
      </c>
      <c r="B273" s="50">
        <f>'VaR Model'!D273</f>
        <v>-7.440042676330358E-3</v>
      </c>
      <c r="J273" s="42">
        <f>'VaR Model'!C273</f>
        <v>44963</v>
      </c>
      <c r="K273" s="71">
        <f>'VaR Model'!D273</f>
        <v>-7.440042676330358E-3</v>
      </c>
      <c r="L273">
        <f>Backtesting!D273</f>
        <v>0</v>
      </c>
      <c r="M273" s="7">
        <f>Backtesting!F273</f>
        <v>0</v>
      </c>
    </row>
    <row r="274" spans="1:13" x14ac:dyDescent="0.35">
      <c r="A274" s="42">
        <f>'VaR Model'!C274</f>
        <v>44964</v>
      </c>
      <c r="B274" s="50">
        <f>'VaR Model'!D274</f>
        <v>-6.2925704216892026E-3</v>
      </c>
      <c r="J274" s="42">
        <f>'VaR Model'!C274</f>
        <v>44964</v>
      </c>
      <c r="K274" s="71">
        <f>'VaR Model'!D274</f>
        <v>-6.2925704216892026E-3</v>
      </c>
      <c r="L274">
        <f>Backtesting!D274</f>
        <v>0</v>
      </c>
      <c r="M274" s="7">
        <f>Backtesting!F274</f>
        <v>0</v>
      </c>
    </row>
    <row r="275" spans="1:13" x14ac:dyDescent="0.35">
      <c r="A275" s="42">
        <f>'VaR Model'!C275</f>
        <v>44965</v>
      </c>
      <c r="B275" s="50">
        <f>'VaR Model'!D275</f>
        <v>1.2951095349784834E-2</v>
      </c>
      <c r="J275" s="42">
        <f>'VaR Model'!C275</f>
        <v>44965</v>
      </c>
      <c r="K275" s="71">
        <f>'VaR Model'!D275</f>
        <v>1.2951095349784834E-2</v>
      </c>
      <c r="L275">
        <f>Backtesting!D275</f>
        <v>0</v>
      </c>
      <c r="M275" s="7">
        <f>Backtesting!F275</f>
        <v>0</v>
      </c>
    </row>
    <row r="276" spans="1:13" x14ac:dyDescent="0.35">
      <c r="A276" s="42">
        <f>'VaR Model'!C276</f>
        <v>44966</v>
      </c>
      <c r="B276" s="50">
        <f>'VaR Model'!D276</f>
        <v>4.5317335194173308E-3</v>
      </c>
      <c r="J276" s="42">
        <f>'VaR Model'!C276</f>
        <v>44966</v>
      </c>
      <c r="K276" s="71">
        <f>'VaR Model'!D276</f>
        <v>4.5317335194173308E-3</v>
      </c>
      <c r="L276">
        <f>Backtesting!D276</f>
        <v>0</v>
      </c>
      <c r="M276" s="7">
        <f>Backtesting!F276</f>
        <v>0</v>
      </c>
    </row>
    <row r="277" spans="1:13" x14ac:dyDescent="0.35">
      <c r="A277" s="42">
        <f>'VaR Model'!C277</f>
        <v>44967</v>
      </c>
      <c r="B277" s="50">
        <f>'VaR Model'!D277</f>
        <v>-6.0671648957093052E-3</v>
      </c>
      <c r="J277" s="42">
        <f>'VaR Model'!C277</f>
        <v>44967</v>
      </c>
      <c r="K277" s="71">
        <f>'VaR Model'!D277</f>
        <v>-6.0671648957093052E-3</v>
      </c>
      <c r="L277">
        <f>Backtesting!D277</f>
        <v>0</v>
      </c>
      <c r="M277" s="7">
        <f>Backtesting!F277</f>
        <v>0</v>
      </c>
    </row>
    <row r="278" spans="1:13" x14ac:dyDescent="0.35">
      <c r="A278" s="42">
        <f>'VaR Model'!C278</f>
        <v>44970</v>
      </c>
      <c r="B278" s="50">
        <f>'VaR Model'!D278</f>
        <v>-8.6813431962485844E-3</v>
      </c>
      <c r="J278" s="42">
        <f>'VaR Model'!C278</f>
        <v>44970</v>
      </c>
      <c r="K278" s="71">
        <f>'VaR Model'!D278</f>
        <v>-8.6813431962485844E-3</v>
      </c>
      <c r="L278">
        <f>Backtesting!D278</f>
        <v>0</v>
      </c>
      <c r="M278" s="7">
        <f>Backtesting!F278</f>
        <v>0</v>
      </c>
    </row>
    <row r="279" spans="1:13" x14ac:dyDescent="0.35">
      <c r="A279" s="42">
        <f>'VaR Model'!C279</f>
        <v>44971</v>
      </c>
      <c r="B279" s="50">
        <f>'VaR Model'!D279</f>
        <v>1.8795176667714984E-2</v>
      </c>
      <c r="J279" s="42">
        <f>'VaR Model'!C279</f>
        <v>44971</v>
      </c>
      <c r="K279" s="71">
        <f>'VaR Model'!D279</f>
        <v>1.8795176667714984E-2</v>
      </c>
      <c r="L279">
        <f>Backtesting!D279</f>
        <v>0</v>
      </c>
      <c r="M279" s="7">
        <f>Backtesting!F279</f>
        <v>0</v>
      </c>
    </row>
    <row r="280" spans="1:13" x14ac:dyDescent="0.35">
      <c r="A280" s="42">
        <f>'VaR Model'!C280</f>
        <v>44972</v>
      </c>
      <c r="B280" s="50">
        <f>'VaR Model'!D280</f>
        <v>5.1779637404356154E-3</v>
      </c>
      <c r="J280" s="42">
        <f>'VaR Model'!C280</f>
        <v>44972</v>
      </c>
      <c r="K280" s="71">
        <f>'VaR Model'!D280</f>
        <v>5.1779637404356154E-3</v>
      </c>
      <c r="L280">
        <f>Backtesting!D280</f>
        <v>0</v>
      </c>
      <c r="M280" s="7">
        <f>Backtesting!F280</f>
        <v>0</v>
      </c>
    </row>
    <row r="281" spans="1:13" x14ac:dyDescent="0.35">
      <c r="A281" s="42">
        <f>'VaR Model'!C281</f>
        <v>44973</v>
      </c>
      <c r="B281" s="50">
        <f>'VaR Model'!D281</f>
        <v>2.4244963420205143E-3</v>
      </c>
      <c r="J281" s="42">
        <f>'VaR Model'!C281</f>
        <v>44973</v>
      </c>
      <c r="K281" s="71">
        <f>'VaR Model'!D281</f>
        <v>2.4244963420205143E-3</v>
      </c>
      <c r="L281">
        <f>Backtesting!D281</f>
        <v>0</v>
      </c>
      <c r="M281" s="7">
        <f>Backtesting!F281</f>
        <v>0</v>
      </c>
    </row>
    <row r="282" spans="1:13" x14ac:dyDescent="0.35">
      <c r="A282" s="42">
        <f>'VaR Model'!C282</f>
        <v>44974</v>
      </c>
      <c r="B282" s="50">
        <f>'VaR Model'!D282</f>
        <v>-5.7765841039752203E-3</v>
      </c>
      <c r="J282" s="42">
        <f>'VaR Model'!C282</f>
        <v>44974</v>
      </c>
      <c r="K282" s="71">
        <f>'VaR Model'!D282</f>
        <v>-5.7765841039752203E-3</v>
      </c>
      <c r="L282">
        <f>Backtesting!D282</f>
        <v>0</v>
      </c>
      <c r="M282" s="7">
        <f>Backtesting!F282</f>
        <v>0</v>
      </c>
    </row>
    <row r="283" spans="1:13" x14ac:dyDescent="0.35">
      <c r="A283" s="42">
        <f>'VaR Model'!C283</f>
        <v>44977</v>
      </c>
      <c r="B283" s="50">
        <f>'VaR Model'!D283</f>
        <v>-3.95043843464508E-3</v>
      </c>
      <c r="J283" s="42">
        <f>'VaR Model'!C283</f>
        <v>44977</v>
      </c>
      <c r="K283" s="71">
        <f>'VaR Model'!D283</f>
        <v>-3.95043843464508E-3</v>
      </c>
      <c r="L283">
        <f>Backtesting!D283</f>
        <v>0</v>
      </c>
      <c r="M283" s="7">
        <f>Backtesting!F283</f>
        <v>0</v>
      </c>
    </row>
    <row r="284" spans="1:13" x14ac:dyDescent="0.35">
      <c r="A284" s="42">
        <f>'VaR Model'!C284</f>
        <v>44978</v>
      </c>
      <c r="B284" s="50">
        <f>'VaR Model'!D284</f>
        <v>-2.5477225803933754E-3</v>
      </c>
      <c r="J284" s="42">
        <f>'VaR Model'!C284</f>
        <v>44978</v>
      </c>
      <c r="K284" s="71">
        <f>'VaR Model'!D284</f>
        <v>-2.5477225803933754E-3</v>
      </c>
      <c r="L284">
        <f>Backtesting!D284</f>
        <v>0</v>
      </c>
      <c r="M284" s="7">
        <f>Backtesting!F284</f>
        <v>0</v>
      </c>
    </row>
    <row r="285" spans="1:13" x14ac:dyDescent="0.35">
      <c r="A285" s="42">
        <f>'VaR Model'!C285</f>
        <v>44979</v>
      </c>
      <c r="B285" s="50">
        <f>'VaR Model'!D285</f>
        <v>-1.2426922458096566E-2</v>
      </c>
      <c r="J285" s="42">
        <f>'VaR Model'!C285</f>
        <v>44979</v>
      </c>
      <c r="K285" s="71">
        <f>'VaR Model'!D285</f>
        <v>-1.2426922458096566E-2</v>
      </c>
      <c r="L285">
        <f>Backtesting!D285</f>
        <v>0</v>
      </c>
      <c r="M285" s="7">
        <f>Backtesting!F285</f>
        <v>0</v>
      </c>
    </row>
    <row r="286" spans="1:13" x14ac:dyDescent="0.35">
      <c r="A286" s="42">
        <f>'VaR Model'!C286</f>
        <v>44980</v>
      </c>
      <c r="B286" s="50">
        <f>'VaR Model'!D286</f>
        <v>3.9854711012739198E-4</v>
      </c>
      <c r="J286" s="42">
        <f>'VaR Model'!C286</f>
        <v>44980</v>
      </c>
      <c r="K286" s="71">
        <f>'VaR Model'!D286</f>
        <v>3.9854711012739198E-4</v>
      </c>
      <c r="L286">
        <f>Backtesting!D286</f>
        <v>0</v>
      </c>
      <c r="M286" s="7">
        <f>Backtesting!F286</f>
        <v>0</v>
      </c>
    </row>
    <row r="287" spans="1:13" x14ac:dyDescent="0.35">
      <c r="A287" s="42">
        <f>'VaR Model'!C287</f>
        <v>44981</v>
      </c>
      <c r="B287" s="50">
        <f>'VaR Model'!D287</f>
        <v>-7.3280718948378026E-4</v>
      </c>
      <c r="J287" s="42">
        <f>'VaR Model'!C287</f>
        <v>44981</v>
      </c>
      <c r="K287" s="71">
        <f>'VaR Model'!D287</f>
        <v>-7.3280718948378026E-4</v>
      </c>
      <c r="L287">
        <f>Backtesting!D287</f>
        <v>0</v>
      </c>
      <c r="M287" s="7">
        <f>Backtesting!F287</f>
        <v>0</v>
      </c>
    </row>
    <row r="288" spans="1:13" x14ac:dyDescent="0.35">
      <c r="A288" s="42">
        <f>'VaR Model'!C288</f>
        <v>44984</v>
      </c>
      <c r="B288" s="50">
        <f>'VaR Model'!D288</f>
        <v>-8.3907840890107555E-3</v>
      </c>
      <c r="J288" s="42">
        <f>'VaR Model'!C288</f>
        <v>44984</v>
      </c>
      <c r="K288" s="71">
        <f>'VaR Model'!D288</f>
        <v>-8.3907840890107555E-3</v>
      </c>
      <c r="L288">
        <f>Backtesting!D288</f>
        <v>0</v>
      </c>
      <c r="M288" s="7">
        <f>Backtesting!F288</f>
        <v>0</v>
      </c>
    </row>
    <row r="289" spans="1:13" x14ac:dyDescent="0.35">
      <c r="A289" s="42">
        <f>'VaR Model'!C289</f>
        <v>44985</v>
      </c>
      <c r="B289" s="50">
        <f>'VaR Model'!D289</f>
        <v>-1.117225840165151E-2</v>
      </c>
      <c r="J289" s="42">
        <f>'VaR Model'!C289</f>
        <v>44985</v>
      </c>
      <c r="K289" s="71">
        <f>'VaR Model'!D289</f>
        <v>-1.117225840165151E-2</v>
      </c>
      <c r="L289">
        <f>Backtesting!D289</f>
        <v>0</v>
      </c>
      <c r="M289" s="7">
        <f>Backtesting!F289</f>
        <v>0</v>
      </c>
    </row>
    <row r="290" spans="1:13" x14ac:dyDescent="0.35">
      <c r="A290" s="42">
        <f>'VaR Model'!C290</f>
        <v>44986</v>
      </c>
      <c r="B290" s="50">
        <f>'VaR Model'!D290</f>
        <v>8.7202001651914655E-3</v>
      </c>
      <c r="J290" s="42">
        <f>'VaR Model'!C290</f>
        <v>44986</v>
      </c>
      <c r="K290" s="71">
        <f>'VaR Model'!D290</f>
        <v>8.7202001651914655E-3</v>
      </c>
      <c r="L290">
        <f>Backtesting!D290</f>
        <v>0</v>
      </c>
      <c r="M290" s="7">
        <f>Backtesting!F290</f>
        <v>0</v>
      </c>
    </row>
    <row r="291" spans="1:13" x14ac:dyDescent="0.35">
      <c r="A291" s="42">
        <f>'VaR Model'!C291</f>
        <v>44987</v>
      </c>
      <c r="B291" s="50">
        <f>'VaR Model'!D291</f>
        <v>-1.0790865578673182E-2</v>
      </c>
      <c r="J291" s="42">
        <f>'VaR Model'!C291</f>
        <v>44987</v>
      </c>
      <c r="K291" s="71">
        <f>'VaR Model'!D291</f>
        <v>-1.0790865578673182E-2</v>
      </c>
      <c r="L291">
        <f>Backtesting!D291</f>
        <v>0</v>
      </c>
      <c r="M291" s="7">
        <f>Backtesting!F291</f>
        <v>0</v>
      </c>
    </row>
    <row r="292" spans="1:13" x14ac:dyDescent="0.35">
      <c r="A292" s="42">
        <f>'VaR Model'!C292</f>
        <v>44988</v>
      </c>
      <c r="B292" s="50">
        <f>'VaR Model'!D292</f>
        <v>1.5575089001147395E-2</v>
      </c>
      <c r="J292" s="42">
        <f>'VaR Model'!C292</f>
        <v>44988</v>
      </c>
      <c r="K292" s="71">
        <f>'VaR Model'!D292</f>
        <v>1.5575089001147395E-2</v>
      </c>
      <c r="L292">
        <f>Backtesting!D292</f>
        <v>0</v>
      </c>
      <c r="M292" s="7">
        <f>Backtesting!F292</f>
        <v>0</v>
      </c>
    </row>
    <row r="293" spans="1:13" x14ac:dyDescent="0.35">
      <c r="A293" s="42">
        <f>'VaR Model'!C293</f>
        <v>44991</v>
      </c>
      <c r="B293" s="50">
        <f>'VaR Model'!D293</f>
        <v>8.9558507031796374E-3</v>
      </c>
      <c r="J293" s="42">
        <f>'VaR Model'!C293</f>
        <v>44991</v>
      </c>
      <c r="K293" s="71">
        <f>'VaR Model'!D293</f>
        <v>8.9558507031796374E-3</v>
      </c>
      <c r="L293">
        <f>Backtesting!D293</f>
        <v>0</v>
      </c>
      <c r="M293" s="7">
        <f>Backtesting!F293</f>
        <v>0</v>
      </c>
    </row>
    <row r="294" spans="1:13" x14ac:dyDescent="0.35">
      <c r="A294" s="42">
        <f>'VaR Model'!C294</f>
        <v>44993</v>
      </c>
      <c r="B294" s="50">
        <f>'VaR Model'!D294</f>
        <v>3.0224668214293444E-3</v>
      </c>
      <c r="J294" s="42">
        <f>'VaR Model'!C294</f>
        <v>44993</v>
      </c>
      <c r="K294" s="71">
        <f>'VaR Model'!D294</f>
        <v>3.0224668214293444E-3</v>
      </c>
      <c r="L294">
        <f>Backtesting!D294</f>
        <v>0</v>
      </c>
      <c r="M294" s="7">
        <f>Backtesting!F294</f>
        <v>0</v>
      </c>
    </row>
    <row r="295" spans="1:13" x14ac:dyDescent="0.35">
      <c r="A295" s="42">
        <f>'VaR Model'!C295</f>
        <v>44994</v>
      </c>
      <c r="B295" s="50">
        <f>'VaR Model'!D295</f>
        <v>-1.595874337290798E-2</v>
      </c>
      <c r="J295" s="42">
        <f>'VaR Model'!C295</f>
        <v>44994</v>
      </c>
      <c r="K295" s="71">
        <f>'VaR Model'!D295</f>
        <v>-1.595874337290798E-2</v>
      </c>
      <c r="L295">
        <f>Backtesting!D295</f>
        <v>0</v>
      </c>
      <c r="M295" s="7">
        <f>Backtesting!F295</f>
        <v>1</v>
      </c>
    </row>
    <row r="296" spans="1:13" x14ac:dyDescent="0.35">
      <c r="A296" s="42">
        <f>'VaR Model'!C296</f>
        <v>44995</v>
      </c>
      <c r="B296" s="50">
        <f>'VaR Model'!D296</f>
        <v>-7.5411357511938467E-3</v>
      </c>
      <c r="J296" s="42">
        <f>'VaR Model'!C296</f>
        <v>44995</v>
      </c>
      <c r="K296" s="71">
        <f>'VaR Model'!D296</f>
        <v>-7.5411357511938467E-3</v>
      </c>
      <c r="L296">
        <f>Backtesting!D296</f>
        <v>0</v>
      </c>
      <c r="M296" s="7">
        <f>Backtesting!F296</f>
        <v>0</v>
      </c>
    </row>
    <row r="297" spans="1:13" x14ac:dyDescent="0.35">
      <c r="A297" s="42">
        <f>'VaR Model'!C297</f>
        <v>44998</v>
      </c>
      <c r="B297" s="50">
        <f>'VaR Model'!D297</f>
        <v>-1.6965542478716122E-2</v>
      </c>
      <c r="J297" s="42">
        <f>'VaR Model'!C297</f>
        <v>44998</v>
      </c>
      <c r="K297" s="71">
        <f>'VaR Model'!D297</f>
        <v>-1.6965542478716122E-2</v>
      </c>
      <c r="L297">
        <f>Backtesting!D297</f>
        <v>0</v>
      </c>
      <c r="M297" s="7">
        <f>Backtesting!F297</f>
        <v>1</v>
      </c>
    </row>
    <row r="298" spans="1:13" x14ac:dyDescent="0.35">
      <c r="A298" s="42">
        <f>'VaR Model'!C298</f>
        <v>44999</v>
      </c>
      <c r="B298" s="50">
        <f>'VaR Model'!D298</f>
        <v>-8.5940487254909624E-3</v>
      </c>
      <c r="J298" s="42">
        <f>'VaR Model'!C298</f>
        <v>44999</v>
      </c>
      <c r="K298" s="71">
        <f>'VaR Model'!D298</f>
        <v>-8.5940487254909624E-3</v>
      </c>
      <c r="L298">
        <f>Backtesting!D298</f>
        <v>0</v>
      </c>
      <c r="M298" s="7">
        <f>Backtesting!F298</f>
        <v>0</v>
      </c>
    </row>
    <row r="299" spans="1:13" x14ac:dyDescent="0.35">
      <c r="A299" s="42">
        <f>'VaR Model'!C299</f>
        <v>45000</v>
      </c>
      <c r="B299" s="50">
        <f>'VaR Model'!D299</f>
        <v>-5.7301376254888167E-3</v>
      </c>
      <c r="J299" s="42">
        <f>'VaR Model'!C299</f>
        <v>45000</v>
      </c>
      <c r="K299" s="71">
        <f>'VaR Model'!D299</f>
        <v>-5.7301376254888167E-3</v>
      </c>
      <c r="L299">
        <f>Backtesting!D299</f>
        <v>0</v>
      </c>
      <c r="M299" s="7">
        <f>Backtesting!F299</f>
        <v>0</v>
      </c>
    </row>
    <row r="300" spans="1:13" x14ac:dyDescent="0.35">
      <c r="A300" s="42">
        <f>'VaR Model'!C300</f>
        <v>45001</v>
      </c>
      <c r="B300" s="50">
        <f>'VaR Model'!D300</f>
        <v>-3.4783917029618874E-3</v>
      </c>
      <c r="J300" s="42">
        <f>'VaR Model'!C300</f>
        <v>45001</v>
      </c>
      <c r="K300" s="71">
        <f>'VaR Model'!D300</f>
        <v>-3.4783917029618874E-3</v>
      </c>
      <c r="L300">
        <f>Backtesting!D300</f>
        <v>0</v>
      </c>
      <c r="M300" s="7">
        <f>Backtesting!F300</f>
        <v>0</v>
      </c>
    </row>
    <row r="301" spans="1:13" x14ac:dyDescent="0.35">
      <c r="A301" s="42">
        <f>'VaR Model'!C301</f>
        <v>45002</v>
      </c>
      <c r="B301" s="50">
        <f>'VaR Model'!D301</f>
        <v>1.5980627950379044E-3</v>
      </c>
      <c r="J301" s="42">
        <f>'VaR Model'!C301</f>
        <v>45002</v>
      </c>
      <c r="K301" s="71">
        <f>'VaR Model'!D301</f>
        <v>1.5980627950379044E-3</v>
      </c>
      <c r="L301">
        <f>Backtesting!D301</f>
        <v>0</v>
      </c>
      <c r="M301" s="7">
        <f>Backtesting!F301</f>
        <v>0</v>
      </c>
    </row>
    <row r="302" spans="1:13" x14ac:dyDescent="0.35">
      <c r="A302" s="42">
        <f>'VaR Model'!C302</f>
        <v>45005</v>
      </c>
      <c r="B302" s="50">
        <f>'VaR Model'!D302</f>
        <v>-4.8956858277134181E-3</v>
      </c>
      <c r="J302" s="42">
        <f>'VaR Model'!C302</f>
        <v>45005</v>
      </c>
      <c r="K302" s="71">
        <f>'VaR Model'!D302</f>
        <v>-4.8956858277134181E-3</v>
      </c>
      <c r="L302">
        <f>Backtesting!D302</f>
        <v>0</v>
      </c>
      <c r="M302" s="7">
        <f>Backtesting!F302</f>
        <v>0</v>
      </c>
    </row>
    <row r="303" spans="1:13" x14ac:dyDescent="0.35">
      <c r="A303" s="42">
        <f>'VaR Model'!C303</f>
        <v>45006</v>
      </c>
      <c r="B303" s="50">
        <f>'VaR Model'!D303</f>
        <v>4.6886865827787125E-3</v>
      </c>
      <c r="J303" s="42">
        <f>'VaR Model'!C303</f>
        <v>45006</v>
      </c>
      <c r="K303" s="71">
        <f>'VaR Model'!D303</f>
        <v>4.6886865827787125E-3</v>
      </c>
      <c r="L303">
        <f>Backtesting!D303</f>
        <v>0</v>
      </c>
      <c r="M303" s="7">
        <f>Backtesting!F303</f>
        <v>0</v>
      </c>
    </row>
    <row r="304" spans="1:13" x14ac:dyDescent="0.35">
      <c r="A304" s="42">
        <f>'VaR Model'!C304</f>
        <v>45007</v>
      </c>
      <c r="B304" s="50">
        <f>'VaR Model'!D304</f>
        <v>4.227769178033268E-3</v>
      </c>
      <c r="J304" s="42">
        <f>'VaR Model'!C304</f>
        <v>45007</v>
      </c>
      <c r="K304" s="71">
        <f>'VaR Model'!D304</f>
        <v>4.227769178033268E-3</v>
      </c>
      <c r="L304">
        <f>Backtesting!D304</f>
        <v>0</v>
      </c>
      <c r="M304" s="7">
        <f>Backtesting!F304</f>
        <v>0</v>
      </c>
    </row>
    <row r="305" spans="1:13" x14ac:dyDescent="0.35">
      <c r="A305" s="42">
        <f>'VaR Model'!C305</f>
        <v>45008</v>
      </c>
      <c r="B305" s="50">
        <f>'VaR Model'!D305</f>
        <v>-4.6487559439296446E-3</v>
      </c>
      <c r="J305" s="42">
        <f>'VaR Model'!C305</f>
        <v>45008</v>
      </c>
      <c r="K305" s="71">
        <f>'VaR Model'!D305</f>
        <v>-4.6487559439296446E-3</v>
      </c>
      <c r="L305">
        <f>Backtesting!D305</f>
        <v>0</v>
      </c>
      <c r="M305" s="7">
        <f>Backtesting!F305</f>
        <v>0</v>
      </c>
    </row>
    <row r="306" spans="1:13" x14ac:dyDescent="0.35">
      <c r="A306" s="42">
        <f>'VaR Model'!C306</f>
        <v>45009</v>
      </c>
      <c r="B306" s="50">
        <f>'VaR Model'!D306</f>
        <v>-5.1198166836444268E-3</v>
      </c>
      <c r="J306" s="42">
        <f>'VaR Model'!C306</f>
        <v>45009</v>
      </c>
      <c r="K306" s="71">
        <f>'VaR Model'!D306</f>
        <v>-5.1198166836444268E-3</v>
      </c>
      <c r="L306">
        <f>Backtesting!D306</f>
        <v>0</v>
      </c>
      <c r="M306" s="7">
        <f>Backtesting!F306</f>
        <v>0</v>
      </c>
    </row>
    <row r="307" spans="1:13" x14ac:dyDescent="0.35">
      <c r="A307" s="42">
        <f>'VaR Model'!C307</f>
        <v>45012</v>
      </c>
      <c r="B307" s="50">
        <f>'VaR Model'!D307</f>
        <v>4.3209512859138551E-3</v>
      </c>
      <c r="J307" s="42">
        <f>'VaR Model'!C307</f>
        <v>45012</v>
      </c>
      <c r="K307" s="71">
        <f>'VaR Model'!D307</f>
        <v>4.3209512859138551E-3</v>
      </c>
      <c r="L307">
        <f>Backtesting!D307</f>
        <v>0</v>
      </c>
      <c r="M307" s="7">
        <f>Backtesting!F307</f>
        <v>0</v>
      </c>
    </row>
    <row r="308" spans="1:13" x14ac:dyDescent="0.35">
      <c r="A308" s="42">
        <f>'VaR Model'!C308</f>
        <v>45013</v>
      </c>
      <c r="B308" s="50">
        <f>'VaR Model'!D308</f>
        <v>6.4805897264437907E-5</v>
      </c>
      <c r="J308" s="42">
        <f>'VaR Model'!C308</f>
        <v>45013</v>
      </c>
      <c r="K308" s="71">
        <f>'VaR Model'!D308</f>
        <v>6.4805897264437907E-5</v>
      </c>
      <c r="L308">
        <f>Backtesting!D308</f>
        <v>0</v>
      </c>
      <c r="M308" s="7">
        <f>Backtesting!F308</f>
        <v>0</v>
      </c>
    </row>
    <row r="309" spans="1:13" x14ac:dyDescent="0.35">
      <c r="A309" s="42">
        <f>'VaR Model'!C309</f>
        <v>45014</v>
      </c>
      <c r="B309" s="50">
        <f>'VaR Model'!D309</f>
        <v>1.8417375960220108E-3</v>
      </c>
      <c r="J309" s="42">
        <f>'VaR Model'!C309</f>
        <v>45014</v>
      </c>
      <c r="K309" s="71">
        <f>'VaR Model'!D309</f>
        <v>1.8417375960220108E-3</v>
      </c>
      <c r="L309">
        <f>Backtesting!D309</f>
        <v>0</v>
      </c>
      <c r="M309" s="7">
        <f>Backtesting!F309</f>
        <v>0</v>
      </c>
    </row>
    <row r="310" spans="1:13" x14ac:dyDescent="0.35">
      <c r="A310" s="42">
        <f>'VaR Model'!C310</f>
        <v>45016</v>
      </c>
      <c r="B310" s="50">
        <f>'VaR Model'!D310</f>
        <v>2.5452640744363285E-2</v>
      </c>
      <c r="J310" s="42">
        <f>'VaR Model'!C310</f>
        <v>45016</v>
      </c>
      <c r="K310" s="71">
        <f>'VaR Model'!D310</f>
        <v>2.5452640744363285E-2</v>
      </c>
      <c r="L310">
        <f>Backtesting!D310</f>
        <v>0</v>
      </c>
      <c r="M310" s="7">
        <f>Backtesting!F310</f>
        <v>0</v>
      </c>
    </row>
    <row r="311" spans="1:13" x14ac:dyDescent="0.35">
      <c r="A311" s="42">
        <f>'VaR Model'!C311</f>
        <v>45019</v>
      </c>
      <c r="B311" s="50">
        <f>'VaR Model'!D311</f>
        <v>-3.673008723076048E-3</v>
      </c>
      <c r="J311" s="42">
        <f>'VaR Model'!C311</f>
        <v>45019</v>
      </c>
      <c r="K311" s="71">
        <f>'VaR Model'!D311</f>
        <v>-3.673008723076048E-3</v>
      </c>
      <c r="L311">
        <f>Backtesting!D311</f>
        <v>0</v>
      </c>
      <c r="M311" s="7">
        <f>Backtesting!F311</f>
        <v>0</v>
      </c>
    </row>
    <row r="312" spans="1:13" x14ac:dyDescent="0.35">
      <c r="A312" s="42">
        <f>'VaR Model'!C312</f>
        <v>45021</v>
      </c>
      <c r="B312" s="50">
        <f>'VaR Model'!D312</f>
        <v>7.8844367814093902E-3</v>
      </c>
      <c r="J312" s="42">
        <f>'VaR Model'!C312</f>
        <v>45021</v>
      </c>
      <c r="K312" s="71">
        <f>'VaR Model'!D312</f>
        <v>7.8844367814093902E-3</v>
      </c>
      <c r="L312">
        <f>Backtesting!D312</f>
        <v>0</v>
      </c>
      <c r="M312" s="7">
        <f>Backtesting!F312</f>
        <v>0</v>
      </c>
    </row>
    <row r="313" spans="1:13" x14ac:dyDescent="0.35">
      <c r="A313" s="42">
        <f>'VaR Model'!C313</f>
        <v>45022</v>
      </c>
      <c r="B313" s="50">
        <f>'VaR Model'!D313</f>
        <v>-1.7705552390262719E-3</v>
      </c>
      <c r="J313" s="42">
        <f>'VaR Model'!C313</f>
        <v>45022</v>
      </c>
      <c r="K313" s="71">
        <f>'VaR Model'!D313</f>
        <v>-1.7705552390262719E-3</v>
      </c>
      <c r="L313">
        <f>Backtesting!D313</f>
        <v>0</v>
      </c>
      <c r="M313" s="7">
        <f>Backtesting!F313</f>
        <v>0</v>
      </c>
    </row>
    <row r="314" spans="1:13" x14ac:dyDescent="0.35">
      <c r="A314" s="42">
        <f>'VaR Model'!C314</f>
        <v>45026</v>
      </c>
      <c r="B314" s="50">
        <f>'VaR Model'!D314</f>
        <v>1.1292296825572686E-3</v>
      </c>
      <c r="J314" s="42">
        <f>'VaR Model'!C314</f>
        <v>45026</v>
      </c>
      <c r="K314" s="71">
        <f>'VaR Model'!D314</f>
        <v>1.1292296825572686E-3</v>
      </c>
      <c r="L314">
        <f>Backtesting!D314</f>
        <v>0</v>
      </c>
      <c r="M314" s="7">
        <f>Backtesting!F314</f>
        <v>0</v>
      </c>
    </row>
    <row r="315" spans="1:13" x14ac:dyDescent="0.35">
      <c r="A315" s="42">
        <f>'VaR Model'!C315</f>
        <v>45027</v>
      </c>
      <c r="B315" s="50">
        <f>'VaR Model'!D315</f>
        <v>1.7710315154476435E-3</v>
      </c>
      <c r="J315" s="42">
        <f>'VaR Model'!C315</f>
        <v>45027</v>
      </c>
      <c r="K315" s="71">
        <f>'VaR Model'!D315</f>
        <v>1.7710315154476435E-3</v>
      </c>
      <c r="L315">
        <f>Backtesting!D315</f>
        <v>0</v>
      </c>
      <c r="M315" s="7">
        <f>Backtesting!F315</f>
        <v>0</v>
      </c>
    </row>
    <row r="316" spans="1:13" x14ac:dyDescent="0.35">
      <c r="A316" s="42">
        <f>'VaR Model'!C316</f>
        <v>45028</v>
      </c>
      <c r="B316" s="50">
        <f>'VaR Model'!D316</f>
        <v>6.3483721354236312E-3</v>
      </c>
      <c r="J316" s="42">
        <f>'VaR Model'!C316</f>
        <v>45028</v>
      </c>
      <c r="K316" s="71">
        <f>'VaR Model'!D316</f>
        <v>6.3483721354236312E-3</v>
      </c>
      <c r="L316">
        <f>Backtesting!D316</f>
        <v>0</v>
      </c>
      <c r="M316" s="7">
        <f>Backtesting!F316</f>
        <v>0</v>
      </c>
    </row>
    <row r="317" spans="1:13" x14ac:dyDescent="0.35">
      <c r="A317" s="42">
        <f>'VaR Model'!C317</f>
        <v>45029</v>
      </c>
      <c r="B317" s="50">
        <f>'VaR Model'!D317</f>
        <v>-5.0634298899330746E-3</v>
      </c>
      <c r="J317" s="42">
        <f>'VaR Model'!C317</f>
        <v>45029</v>
      </c>
      <c r="K317" s="71">
        <f>'VaR Model'!D317</f>
        <v>-5.0634298899330746E-3</v>
      </c>
      <c r="L317">
        <f>Backtesting!D317</f>
        <v>0</v>
      </c>
      <c r="M317" s="7">
        <f>Backtesting!F317</f>
        <v>0</v>
      </c>
    </row>
    <row r="318" spans="1:13" x14ac:dyDescent="0.35">
      <c r="A318" s="42">
        <f>'VaR Model'!C318</f>
        <v>45033</v>
      </c>
      <c r="B318" s="50">
        <f>'VaR Model'!D318</f>
        <v>-1.9100605628077701E-2</v>
      </c>
      <c r="J318" s="42">
        <f>'VaR Model'!C318</f>
        <v>45033</v>
      </c>
      <c r="K318" s="71">
        <f>'VaR Model'!D318</f>
        <v>-1.9100605628077701E-2</v>
      </c>
      <c r="L318">
        <f>Backtesting!D318</f>
        <v>0</v>
      </c>
      <c r="M318" s="7">
        <f>Backtesting!F318</f>
        <v>1</v>
      </c>
    </row>
    <row r="319" spans="1:13" x14ac:dyDescent="0.35">
      <c r="A319" s="42">
        <f>'VaR Model'!C319</f>
        <v>45034</v>
      </c>
      <c r="B319" s="50">
        <f>'VaR Model'!D319</f>
        <v>-4.5118037638146088E-3</v>
      </c>
      <c r="J319" s="42">
        <f>'VaR Model'!C319</f>
        <v>45034</v>
      </c>
      <c r="K319" s="71">
        <f>'VaR Model'!D319</f>
        <v>-4.5118037638146088E-3</v>
      </c>
      <c r="L319">
        <f>Backtesting!D319</f>
        <v>0</v>
      </c>
      <c r="M319" s="7">
        <f>Backtesting!F319</f>
        <v>0</v>
      </c>
    </row>
    <row r="320" spans="1:13" x14ac:dyDescent="0.35">
      <c r="A320" s="42">
        <f>'VaR Model'!C320</f>
        <v>45035</v>
      </c>
      <c r="B320" s="50">
        <f>'VaR Model'!D320</f>
        <v>-6.994564750459494E-3</v>
      </c>
      <c r="J320" s="42">
        <f>'VaR Model'!C320</f>
        <v>45035</v>
      </c>
      <c r="K320" s="71">
        <f>'VaR Model'!D320</f>
        <v>-6.994564750459494E-3</v>
      </c>
      <c r="L320">
        <f>Backtesting!D320</f>
        <v>0</v>
      </c>
      <c r="M320" s="7">
        <f>Backtesting!F320</f>
        <v>0</v>
      </c>
    </row>
    <row r="321" spans="1:13" x14ac:dyDescent="0.35">
      <c r="A321" s="42">
        <f>'VaR Model'!C321</f>
        <v>45036</v>
      </c>
      <c r="B321" s="50">
        <f>'VaR Model'!D321</f>
        <v>3.7727956265226203E-4</v>
      </c>
      <c r="J321" s="42">
        <f>'VaR Model'!C321</f>
        <v>45036</v>
      </c>
      <c r="K321" s="71">
        <f>'VaR Model'!D321</f>
        <v>3.7727956265226203E-4</v>
      </c>
      <c r="L321">
        <f>Backtesting!D321</f>
        <v>0</v>
      </c>
      <c r="M321" s="7">
        <f>Backtesting!F321</f>
        <v>0</v>
      </c>
    </row>
    <row r="322" spans="1:13" x14ac:dyDescent="0.35">
      <c r="A322" s="42">
        <f>'VaR Model'!C322</f>
        <v>45037</v>
      </c>
      <c r="B322" s="50">
        <f>'VaR Model'!D322</f>
        <v>6.4443706928534548E-3</v>
      </c>
      <c r="J322" s="42">
        <f>'VaR Model'!C322</f>
        <v>45037</v>
      </c>
      <c r="K322" s="71">
        <f>'VaR Model'!D322</f>
        <v>6.4443706928534548E-3</v>
      </c>
      <c r="L322">
        <f>Backtesting!D322</f>
        <v>0</v>
      </c>
      <c r="M322" s="7">
        <f>Backtesting!F322</f>
        <v>0</v>
      </c>
    </row>
    <row r="323" spans="1:13" x14ac:dyDescent="0.35">
      <c r="A323" s="42">
        <f>'VaR Model'!C323</f>
        <v>45040</v>
      </c>
      <c r="B323" s="50">
        <f>'VaR Model'!D323</f>
        <v>5.9622743316310395E-3</v>
      </c>
      <c r="J323" s="42">
        <f>'VaR Model'!C323</f>
        <v>45040</v>
      </c>
      <c r="K323" s="71">
        <f>'VaR Model'!D323</f>
        <v>5.9622743316310395E-3</v>
      </c>
      <c r="L323">
        <f>Backtesting!D323</f>
        <v>0</v>
      </c>
      <c r="M323" s="7">
        <f>Backtesting!F323</f>
        <v>0</v>
      </c>
    </row>
    <row r="324" spans="1:13" x14ac:dyDescent="0.35">
      <c r="A324" s="42">
        <f>'VaR Model'!C324</f>
        <v>45041</v>
      </c>
      <c r="B324" s="50">
        <f>'VaR Model'!D324</f>
        <v>4.6756865844506399E-3</v>
      </c>
      <c r="J324" s="42">
        <f>'VaR Model'!C324</f>
        <v>45041</v>
      </c>
      <c r="K324" s="71">
        <f>'VaR Model'!D324</f>
        <v>4.6756865844506399E-3</v>
      </c>
      <c r="L324">
        <f>Backtesting!D324</f>
        <v>0</v>
      </c>
      <c r="M324" s="7">
        <f>Backtesting!F324</f>
        <v>0</v>
      </c>
    </row>
    <row r="325" spans="1:13" x14ac:dyDescent="0.35">
      <c r="A325" s="42">
        <f>'VaR Model'!C325</f>
        <v>45042</v>
      </c>
      <c r="B325" s="50">
        <f>'VaR Model'!D325</f>
        <v>1.3132564033073969E-3</v>
      </c>
      <c r="J325" s="42">
        <f>'VaR Model'!C325</f>
        <v>45042</v>
      </c>
      <c r="K325" s="71">
        <f>'VaR Model'!D325</f>
        <v>1.3132564033073969E-3</v>
      </c>
      <c r="L325">
        <f>Backtesting!D325</f>
        <v>0</v>
      </c>
      <c r="M325" s="7">
        <f>Backtesting!F325</f>
        <v>0</v>
      </c>
    </row>
    <row r="326" spans="1:13" x14ac:dyDescent="0.35">
      <c r="A326" s="42">
        <f>'VaR Model'!C326</f>
        <v>45043</v>
      </c>
      <c r="B326" s="50">
        <f>'VaR Model'!D326</f>
        <v>6.1963860785524318E-3</v>
      </c>
      <c r="J326" s="42">
        <f>'VaR Model'!C326</f>
        <v>45043</v>
      </c>
      <c r="K326" s="71">
        <f>'VaR Model'!D326</f>
        <v>6.1963860785524318E-3</v>
      </c>
      <c r="L326">
        <f>Backtesting!D326</f>
        <v>0</v>
      </c>
      <c r="M326" s="7">
        <f>Backtesting!F326</f>
        <v>0</v>
      </c>
    </row>
    <row r="327" spans="1:13" x14ac:dyDescent="0.35">
      <c r="A327" s="42">
        <f>'VaR Model'!C327</f>
        <v>45044</v>
      </c>
      <c r="B327" s="50">
        <f>'VaR Model'!D327</f>
        <v>1.1004976818895576E-2</v>
      </c>
      <c r="J327" s="42">
        <f>'VaR Model'!C327</f>
        <v>45044</v>
      </c>
      <c r="K327" s="71">
        <f>'VaR Model'!D327</f>
        <v>1.1004976818895576E-2</v>
      </c>
      <c r="L327">
        <f>Backtesting!D327</f>
        <v>0</v>
      </c>
      <c r="M327" s="7">
        <f>Backtesting!F327</f>
        <v>0</v>
      </c>
    </row>
    <row r="328" spans="1:13" x14ac:dyDescent="0.35">
      <c r="A328" s="42">
        <f>'VaR Model'!C328</f>
        <v>45048</v>
      </c>
      <c r="B328" s="50">
        <f>'VaR Model'!D328</f>
        <v>6.0554017355166842E-3</v>
      </c>
      <c r="J328" s="42">
        <f>'VaR Model'!C328</f>
        <v>45048</v>
      </c>
      <c r="K328" s="71">
        <f>'VaR Model'!D328</f>
        <v>6.0554017355166842E-3</v>
      </c>
      <c r="L328">
        <f>Backtesting!D328</f>
        <v>0</v>
      </c>
      <c r="M328" s="7">
        <f>Backtesting!F328</f>
        <v>0</v>
      </c>
    </row>
    <row r="329" spans="1:13" x14ac:dyDescent="0.35">
      <c r="A329" s="42">
        <f>'VaR Model'!C329</f>
        <v>45049</v>
      </c>
      <c r="B329" s="50">
        <f>'VaR Model'!D329</f>
        <v>-4.0697446146648018E-3</v>
      </c>
      <c r="J329" s="42">
        <f>'VaR Model'!C329</f>
        <v>45049</v>
      </c>
      <c r="K329" s="71">
        <f>'VaR Model'!D329</f>
        <v>-4.0697446146648018E-3</v>
      </c>
      <c r="L329">
        <f>Backtesting!D329</f>
        <v>0</v>
      </c>
      <c r="M329" s="7">
        <f>Backtesting!F329</f>
        <v>0</v>
      </c>
    </row>
    <row r="330" spans="1:13" x14ac:dyDescent="0.35">
      <c r="A330" s="42">
        <f>'VaR Model'!C330</f>
        <v>45050</v>
      </c>
      <c r="B330" s="50">
        <f>'VaR Model'!D330</f>
        <v>4.091970050173744E-3</v>
      </c>
      <c r="J330" s="42">
        <f>'VaR Model'!C330</f>
        <v>45050</v>
      </c>
      <c r="K330" s="71">
        <f>'VaR Model'!D330</f>
        <v>4.091970050173744E-3</v>
      </c>
      <c r="L330">
        <f>Backtesting!D330</f>
        <v>0</v>
      </c>
      <c r="M330" s="7">
        <f>Backtesting!F330</f>
        <v>0</v>
      </c>
    </row>
    <row r="331" spans="1:13" x14ac:dyDescent="0.35">
      <c r="A331" s="42">
        <f>'VaR Model'!C331</f>
        <v>45051</v>
      </c>
      <c r="B331" s="50">
        <f>'VaR Model'!D331</f>
        <v>9.0588904695124714E-4</v>
      </c>
      <c r="J331" s="42">
        <f>'VaR Model'!C331</f>
        <v>45051</v>
      </c>
      <c r="K331" s="71">
        <f>'VaR Model'!D331</f>
        <v>9.0588904695124714E-4</v>
      </c>
      <c r="L331">
        <f>Backtesting!D331</f>
        <v>0</v>
      </c>
      <c r="M331" s="7">
        <f>Backtesting!F331</f>
        <v>0</v>
      </c>
    </row>
    <row r="332" spans="1:13" x14ac:dyDescent="0.35">
      <c r="A332" s="42">
        <f>'VaR Model'!C332</f>
        <v>45054</v>
      </c>
      <c r="B332" s="50">
        <f>'VaR Model'!D332</f>
        <v>8.3192139299372789E-3</v>
      </c>
      <c r="J332" s="42">
        <f>'VaR Model'!C332</f>
        <v>45054</v>
      </c>
      <c r="K332" s="71">
        <f>'VaR Model'!D332</f>
        <v>8.3192139299372789E-3</v>
      </c>
      <c r="L332">
        <f>Backtesting!D332</f>
        <v>0</v>
      </c>
      <c r="M332" s="7">
        <f>Backtesting!F332</f>
        <v>0</v>
      </c>
    </row>
    <row r="333" spans="1:13" x14ac:dyDescent="0.35">
      <c r="A333" s="42">
        <f>'VaR Model'!C333</f>
        <v>45055</v>
      </c>
      <c r="B333" s="50">
        <f>'VaR Model'!D333</f>
        <v>-9.0888087156128705E-4</v>
      </c>
      <c r="J333" s="42">
        <f>'VaR Model'!C333</f>
        <v>45055</v>
      </c>
      <c r="K333" s="71">
        <f>'VaR Model'!D333</f>
        <v>-9.0888087156128705E-4</v>
      </c>
      <c r="L333">
        <f>Backtesting!D333</f>
        <v>0</v>
      </c>
      <c r="M333" s="7">
        <f>Backtesting!F333</f>
        <v>0</v>
      </c>
    </row>
    <row r="334" spans="1:13" x14ac:dyDescent="0.35">
      <c r="A334" s="42">
        <f>'VaR Model'!C334</f>
        <v>45056</v>
      </c>
      <c r="B334" s="50">
        <f>'VaR Model'!D334</f>
        <v>1.4945707777808009E-3</v>
      </c>
      <c r="J334" s="42">
        <f>'VaR Model'!C334</f>
        <v>45056</v>
      </c>
      <c r="K334" s="71">
        <f>'VaR Model'!D334</f>
        <v>1.4945707777808009E-3</v>
      </c>
      <c r="L334">
        <f>Backtesting!D334</f>
        <v>0</v>
      </c>
      <c r="M334" s="7">
        <f>Backtesting!F334</f>
        <v>0</v>
      </c>
    </row>
    <row r="335" spans="1:13" x14ac:dyDescent="0.35">
      <c r="A335" s="42">
        <f>'VaR Model'!C335</f>
        <v>45057</v>
      </c>
      <c r="B335" s="50">
        <f>'VaR Model'!D335</f>
        <v>-4.3958725215866284E-3</v>
      </c>
      <c r="J335" s="42">
        <f>'VaR Model'!C335</f>
        <v>45057</v>
      </c>
      <c r="K335" s="71">
        <f>'VaR Model'!D335</f>
        <v>-4.3958725215866284E-3</v>
      </c>
      <c r="L335">
        <f>Backtesting!D335</f>
        <v>0</v>
      </c>
      <c r="M335" s="7">
        <f>Backtesting!F335</f>
        <v>0</v>
      </c>
    </row>
    <row r="336" spans="1:13" x14ac:dyDescent="0.35">
      <c r="A336" s="42">
        <f>'VaR Model'!C336</f>
        <v>45058</v>
      </c>
      <c r="B336" s="50">
        <f>'VaR Model'!D336</f>
        <v>-8.7172414488676778E-4</v>
      </c>
      <c r="J336" s="42">
        <f>'VaR Model'!C336</f>
        <v>45058</v>
      </c>
      <c r="K336" s="71">
        <f>'VaR Model'!D336</f>
        <v>-8.7172414488676778E-4</v>
      </c>
      <c r="L336">
        <f>Backtesting!D336</f>
        <v>0</v>
      </c>
      <c r="M336" s="7">
        <f>Backtesting!F336</f>
        <v>0</v>
      </c>
    </row>
    <row r="337" spans="1:13" x14ac:dyDescent="0.35">
      <c r="A337" s="42">
        <f>'VaR Model'!C337</f>
        <v>45061</v>
      </c>
      <c r="B337" s="50">
        <f>'VaR Model'!D337</f>
        <v>5.1730459996660724E-3</v>
      </c>
      <c r="J337" s="42">
        <f>'VaR Model'!C337</f>
        <v>45061</v>
      </c>
      <c r="K337" s="71">
        <f>'VaR Model'!D337</f>
        <v>5.1730459996660724E-3</v>
      </c>
      <c r="L337">
        <f>Backtesting!D337</f>
        <v>0</v>
      </c>
      <c r="M337" s="7">
        <f>Backtesting!F337</f>
        <v>0</v>
      </c>
    </row>
    <row r="338" spans="1:13" x14ac:dyDescent="0.35">
      <c r="A338" s="42">
        <f>'VaR Model'!C338</f>
        <v>45062</v>
      </c>
      <c r="B338" s="50">
        <f>'VaR Model'!D338</f>
        <v>-3.4172562594650627E-3</v>
      </c>
      <c r="J338" s="42">
        <f>'VaR Model'!C338</f>
        <v>45062</v>
      </c>
      <c r="K338" s="71">
        <f>'VaR Model'!D338</f>
        <v>-3.4172562594650627E-3</v>
      </c>
      <c r="L338">
        <f>Backtesting!D338</f>
        <v>0</v>
      </c>
      <c r="M338" s="7">
        <f>Backtesting!F338</f>
        <v>0</v>
      </c>
    </row>
    <row r="339" spans="1:13" x14ac:dyDescent="0.35">
      <c r="A339" s="42">
        <f>'VaR Model'!C339</f>
        <v>45063</v>
      </c>
      <c r="B339" s="50">
        <f>'VaR Model'!D339</f>
        <v>-6.786094112356659E-3</v>
      </c>
      <c r="J339" s="42">
        <f>'VaR Model'!C339</f>
        <v>45063</v>
      </c>
      <c r="K339" s="71">
        <f>'VaR Model'!D339</f>
        <v>-6.786094112356659E-3</v>
      </c>
      <c r="L339">
        <f>Backtesting!D339</f>
        <v>0</v>
      </c>
      <c r="M339" s="7">
        <f>Backtesting!F339</f>
        <v>0</v>
      </c>
    </row>
    <row r="340" spans="1:13" x14ac:dyDescent="0.35">
      <c r="A340" s="42">
        <f>'VaR Model'!C340</f>
        <v>45064</v>
      </c>
      <c r="B340" s="50">
        <f>'VaR Model'!D340</f>
        <v>-3.3405634090934522E-3</v>
      </c>
      <c r="J340" s="42">
        <f>'VaR Model'!C340</f>
        <v>45064</v>
      </c>
      <c r="K340" s="71">
        <f>'VaR Model'!D340</f>
        <v>-3.3405634090934522E-3</v>
      </c>
      <c r="L340">
        <f>Backtesting!D340</f>
        <v>0</v>
      </c>
      <c r="M340" s="7">
        <f>Backtesting!F340</f>
        <v>0</v>
      </c>
    </row>
    <row r="341" spans="1:13" x14ac:dyDescent="0.35">
      <c r="A341" s="42">
        <f>'VaR Model'!C341</f>
        <v>45065</v>
      </c>
      <c r="B341" s="50">
        <f>'VaR Model'!D341</f>
        <v>7.434273601952421E-3</v>
      </c>
      <c r="J341" s="42">
        <f>'VaR Model'!C341</f>
        <v>45065</v>
      </c>
      <c r="K341" s="71">
        <f>'VaR Model'!D341</f>
        <v>7.434273601952421E-3</v>
      </c>
      <c r="L341">
        <f>Backtesting!D341</f>
        <v>0</v>
      </c>
      <c r="M341" s="7">
        <f>Backtesting!F341</f>
        <v>0</v>
      </c>
    </row>
    <row r="342" spans="1:13" x14ac:dyDescent="0.35">
      <c r="A342" s="42">
        <f>'VaR Model'!C342</f>
        <v>45068</v>
      </c>
      <c r="B342" s="50">
        <f>'VaR Model'!D342</f>
        <v>1.0944740403671186E-2</v>
      </c>
      <c r="J342" s="42">
        <f>'VaR Model'!C342</f>
        <v>45068</v>
      </c>
      <c r="K342" s="71">
        <f>'VaR Model'!D342</f>
        <v>1.0944740403671186E-2</v>
      </c>
      <c r="L342">
        <f>Backtesting!D342</f>
        <v>0</v>
      </c>
      <c r="M342" s="7">
        <f>Backtesting!F342</f>
        <v>0</v>
      </c>
    </row>
    <row r="343" spans="1:13" x14ac:dyDescent="0.35">
      <c r="A343" s="42">
        <f>'VaR Model'!C343</f>
        <v>45069</v>
      </c>
      <c r="B343" s="50">
        <f>'VaR Model'!D343</f>
        <v>3.6838217136331416E-3</v>
      </c>
      <c r="J343" s="42">
        <f>'VaR Model'!C343</f>
        <v>45069</v>
      </c>
      <c r="K343" s="71">
        <f>'VaR Model'!D343</f>
        <v>3.6838217136331416E-3</v>
      </c>
      <c r="L343">
        <f>Backtesting!D343</f>
        <v>0</v>
      </c>
      <c r="M343" s="7">
        <f>Backtesting!F343</f>
        <v>0</v>
      </c>
    </row>
    <row r="344" spans="1:13" x14ac:dyDescent="0.35">
      <c r="A344" s="42">
        <f>'VaR Model'!C344</f>
        <v>45070</v>
      </c>
      <c r="B344" s="50">
        <f>'VaR Model'!D344</f>
        <v>-1.6789738868981962E-3</v>
      </c>
      <c r="J344" s="42">
        <f>'VaR Model'!C344</f>
        <v>45070</v>
      </c>
      <c r="K344" s="71">
        <f>'VaR Model'!D344</f>
        <v>-1.6789738868981962E-3</v>
      </c>
      <c r="L344">
        <f>Backtesting!D344</f>
        <v>0</v>
      </c>
      <c r="M344" s="7">
        <f>Backtesting!F344</f>
        <v>0</v>
      </c>
    </row>
    <row r="345" spans="1:13" x14ac:dyDescent="0.35">
      <c r="A345" s="42">
        <f>'VaR Model'!C345</f>
        <v>45071</v>
      </c>
      <c r="B345" s="50">
        <f>'VaR Model'!D345</f>
        <v>3.5828952451731487E-3</v>
      </c>
      <c r="J345" s="42">
        <f>'VaR Model'!C345</f>
        <v>45071</v>
      </c>
      <c r="K345" s="71">
        <f>'VaR Model'!D345</f>
        <v>3.5828952451731487E-3</v>
      </c>
      <c r="L345">
        <f>Backtesting!D345</f>
        <v>0</v>
      </c>
      <c r="M345" s="7">
        <f>Backtesting!F345</f>
        <v>0</v>
      </c>
    </row>
    <row r="346" spans="1:13" x14ac:dyDescent="0.35">
      <c r="A346" s="42">
        <f>'VaR Model'!C346</f>
        <v>45072</v>
      </c>
      <c r="B346" s="50">
        <f>'VaR Model'!D346</f>
        <v>1.2919548028474207E-2</v>
      </c>
      <c r="J346" s="42">
        <f>'VaR Model'!C346</f>
        <v>45072</v>
      </c>
      <c r="K346" s="71">
        <f>'VaR Model'!D346</f>
        <v>1.2919548028474207E-2</v>
      </c>
      <c r="L346">
        <f>Backtesting!D346</f>
        <v>0</v>
      </c>
      <c r="M346" s="7">
        <f>Backtesting!F346</f>
        <v>0</v>
      </c>
    </row>
    <row r="347" spans="1:13" x14ac:dyDescent="0.35">
      <c r="A347" s="42">
        <f>'VaR Model'!C347</f>
        <v>45075</v>
      </c>
      <c r="B347" s="50">
        <f>'VaR Model'!D347</f>
        <v>2.0696431370105881E-3</v>
      </c>
      <c r="J347" s="42">
        <f>'VaR Model'!C347</f>
        <v>45075</v>
      </c>
      <c r="K347" s="71">
        <f>'VaR Model'!D347</f>
        <v>2.0696431370105881E-3</v>
      </c>
      <c r="L347">
        <f>Backtesting!D347</f>
        <v>0</v>
      </c>
      <c r="M347" s="7">
        <f>Backtesting!F347</f>
        <v>0</v>
      </c>
    </row>
    <row r="348" spans="1:13" x14ac:dyDescent="0.35">
      <c r="A348" s="42">
        <f>'VaR Model'!C348</f>
        <v>45076</v>
      </c>
      <c r="B348" s="50">
        <f>'VaR Model'!D348</f>
        <v>3.0969545716699569E-3</v>
      </c>
      <c r="J348" s="42">
        <f>'VaR Model'!C348</f>
        <v>45076</v>
      </c>
      <c r="K348" s="71">
        <f>'VaR Model'!D348</f>
        <v>3.0969545716699569E-3</v>
      </c>
      <c r="L348">
        <f>Backtesting!D348</f>
        <v>0</v>
      </c>
      <c r="M348" s="7">
        <f>Backtesting!F348</f>
        <v>0</v>
      </c>
    </row>
    <row r="349" spans="1:13" x14ac:dyDescent="0.35">
      <c r="A349" s="42">
        <f>'VaR Model'!C349</f>
        <v>45077</v>
      </c>
      <c r="B349" s="50">
        <f>'VaR Model'!D349</f>
        <v>-8.6027630850239768E-3</v>
      </c>
      <c r="J349" s="42">
        <f>'VaR Model'!C349</f>
        <v>45077</v>
      </c>
      <c r="K349" s="71">
        <f>'VaR Model'!D349</f>
        <v>-8.6027630850239768E-3</v>
      </c>
      <c r="L349">
        <f>Backtesting!D349</f>
        <v>0</v>
      </c>
      <c r="M349" s="7">
        <f>Backtesting!F349</f>
        <v>0</v>
      </c>
    </row>
    <row r="350" spans="1:13" x14ac:dyDescent="0.35">
      <c r="A350" s="42">
        <f>'VaR Model'!C350</f>
        <v>45078</v>
      </c>
      <c r="B350" s="50">
        <f>'VaR Model'!D350</f>
        <v>-3.6611705472764577E-3</v>
      </c>
      <c r="J350" s="42">
        <f>'VaR Model'!C350</f>
        <v>45078</v>
      </c>
      <c r="K350" s="71">
        <f>'VaR Model'!D350</f>
        <v>-3.6611705472764577E-3</v>
      </c>
      <c r="L350">
        <f>Backtesting!D350</f>
        <v>0</v>
      </c>
      <c r="M350" s="7">
        <f>Backtesting!F350</f>
        <v>0</v>
      </c>
    </row>
    <row r="351" spans="1:13" x14ac:dyDescent="0.35">
      <c r="A351" s="42">
        <f>'VaR Model'!C351</f>
        <v>45079</v>
      </c>
      <c r="B351" s="50">
        <f>'VaR Model'!D351</f>
        <v>-2.7834595077065837E-3</v>
      </c>
      <c r="J351" s="42">
        <f>'VaR Model'!C351</f>
        <v>45079</v>
      </c>
      <c r="K351" s="71">
        <f>'VaR Model'!D351</f>
        <v>-2.7834595077065837E-3</v>
      </c>
      <c r="L351">
        <f>Backtesting!D351</f>
        <v>0</v>
      </c>
      <c r="M351" s="7">
        <f>Backtesting!F351</f>
        <v>0</v>
      </c>
    </row>
    <row r="352" spans="1:13" x14ac:dyDescent="0.35">
      <c r="A352" s="42">
        <f>'VaR Model'!C352</f>
        <v>45082</v>
      </c>
      <c r="B352" s="50">
        <f>'VaR Model'!D352</f>
        <v>2.2021719562236777E-3</v>
      </c>
      <c r="J352" s="42">
        <f>'VaR Model'!C352</f>
        <v>45082</v>
      </c>
      <c r="K352" s="71">
        <f>'VaR Model'!D352</f>
        <v>2.2021719562236777E-3</v>
      </c>
      <c r="L352">
        <f>Backtesting!D352</f>
        <v>0</v>
      </c>
      <c r="M352" s="7">
        <f>Backtesting!F352</f>
        <v>0</v>
      </c>
    </row>
    <row r="353" spans="1:13" x14ac:dyDescent="0.35">
      <c r="A353" s="42">
        <f>'VaR Model'!C353</f>
        <v>45083</v>
      </c>
      <c r="B353" s="50">
        <f>'VaR Model'!D353</f>
        <v>-7.2648739860014279E-3</v>
      </c>
      <c r="J353" s="42">
        <f>'VaR Model'!C353</f>
        <v>45083</v>
      </c>
      <c r="K353" s="71">
        <f>'VaR Model'!D353</f>
        <v>-7.2648739860014279E-3</v>
      </c>
      <c r="L353">
        <f>Backtesting!D353</f>
        <v>0</v>
      </c>
      <c r="M353" s="7">
        <f>Backtesting!F353</f>
        <v>0</v>
      </c>
    </row>
    <row r="354" spans="1:13" x14ac:dyDescent="0.35">
      <c r="A354" s="42">
        <f>'VaR Model'!C354</f>
        <v>45084</v>
      </c>
      <c r="B354" s="50">
        <f>'VaR Model'!D354</f>
        <v>5.7959664873192349E-3</v>
      </c>
      <c r="J354" s="42">
        <f>'VaR Model'!C354</f>
        <v>45084</v>
      </c>
      <c r="K354" s="71">
        <f>'VaR Model'!D354</f>
        <v>5.7959664873192349E-3</v>
      </c>
      <c r="L354">
        <f>Backtesting!D354</f>
        <v>0</v>
      </c>
      <c r="M354" s="7">
        <f>Backtesting!F354</f>
        <v>0</v>
      </c>
    </row>
    <row r="355" spans="1:13" x14ac:dyDescent="0.35">
      <c r="A355" s="42">
        <f>'VaR Model'!C355</f>
        <v>45085</v>
      </c>
      <c r="B355" s="50">
        <f>'VaR Model'!D355</f>
        <v>-4.1617246045660911E-3</v>
      </c>
      <c r="J355" s="42">
        <f>'VaR Model'!C355</f>
        <v>45085</v>
      </c>
      <c r="K355" s="71">
        <f>'VaR Model'!D355</f>
        <v>-4.1617246045660911E-3</v>
      </c>
      <c r="L355">
        <f>Backtesting!D355</f>
        <v>0</v>
      </c>
      <c r="M355" s="7">
        <f>Backtesting!F355</f>
        <v>0</v>
      </c>
    </row>
    <row r="356" spans="1:13" x14ac:dyDescent="0.35">
      <c r="A356" s="42">
        <f>'VaR Model'!C356</f>
        <v>45086</v>
      </c>
      <c r="B356" s="50">
        <f>'VaR Model'!D356</f>
        <v>-7.7363417314384418E-3</v>
      </c>
      <c r="J356" s="42">
        <f>'VaR Model'!C356</f>
        <v>45086</v>
      </c>
      <c r="K356" s="71">
        <f>'VaR Model'!D356</f>
        <v>-7.7363417314384418E-3</v>
      </c>
      <c r="L356">
        <f>Backtesting!D356</f>
        <v>0</v>
      </c>
      <c r="M356" s="7">
        <f>Backtesting!F356</f>
        <v>0</v>
      </c>
    </row>
    <row r="357" spans="1:13" x14ac:dyDescent="0.35">
      <c r="A357" s="42">
        <f>'VaR Model'!C357</f>
        <v>45089</v>
      </c>
      <c r="B357" s="50">
        <f>'VaR Model'!D357</f>
        <v>5.438400218631817E-3</v>
      </c>
      <c r="J357" s="42">
        <f>'VaR Model'!C357</f>
        <v>45089</v>
      </c>
      <c r="K357" s="71">
        <f>'VaR Model'!D357</f>
        <v>5.438400218631817E-3</v>
      </c>
      <c r="L357">
        <f>Backtesting!D357</f>
        <v>0</v>
      </c>
      <c r="M357" s="7">
        <f>Backtesting!F357</f>
        <v>0</v>
      </c>
    </row>
    <row r="358" spans="1:13" x14ac:dyDescent="0.35">
      <c r="A358" s="42">
        <f>'VaR Model'!C358</f>
        <v>45090</v>
      </c>
      <c r="B358" s="50">
        <f>'VaR Model'!D358</f>
        <v>1.0169634043361634E-2</v>
      </c>
      <c r="J358" s="42">
        <f>'VaR Model'!C358</f>
        <v>45090</v>
      </c>
      <c r="K358" s="71">
        <f>'VaR Model'!D358</f>
        <v>1.0169634043361634E-2</v>
      </c>
      <c r="L358">
        <f>Backtesting!D358</f>
        <v>0</v>
      </c>
      <c r="M358" s="7">
        <f>Backtesting!F358</f>
        <v>0</v>
      </c>
    </row>
    <row r="359" spans="1:13" x14ac:dyDescent="0.35">
      <c r="A359" s="42">
        <f>'VaR Model'!C359</f>
        <v>45091</v>
      </c>
      <c r="B359" s="50">
        <f>'VaR Model'!D359</f>
        <v>1.0127596694372604E-3</v>
      </c>
      <c r="J359" s="42">
        <f>'VaR Model'!C359</f>
        <v>45091</v>
      </c>
      <c r="K359" s="71">
        <f>'VaR Model'!D359</f>
        <v>1.0127596694372604E-3</v>
      </c>
      <c r="L359">
        <f>Backtesting!D359</f>
        <v>0</v>
      </c>
      <c r="M359" s="7">
        <f>Backtesting!F359</f>
        <v>0</v>
      </c>
    </row>
    <row r="360" spans="1:13" x14ac:dyDescent="0.35">
      <c r="A360" s="42">
        <f>'VaR Model'!C360</f>
        <v>45092</v>
      </c>
      <c r="B360" s="50">
        <f>'VaR Model'!D360</f>
        <v>-5.4098253396992098E-3</v>
      </c>
      <c r="J360" s="42">
        <f>'VaR Model'!C360</f>
        <v>45092</v>
      </c>
      <c r="K360" s="71">
        <f>'VaR Model'!D360</f>
        <v>-5.4098253396992098E-3</v>
      </c>
      <c r="L360">
        <f>Backtesting!D360</f>
        <v>0</v>
      </c>
      <c r="M360" s="7">
        <f>Backtesting!F360</f>
        <v>0</v>
      </c>
    </row>
    <row r="361" spans="1:13" x14ac:dyDescent="0.35">
      <c r="A361" s="42">
        <f>'VaR Model'!C361</f>
        <v>45093</v>
      </c>
      <c r="B361" s="50">
        <f>'VaR Model'!D361</f>
        <v>3.9513849126228216E-3</v>
      </c>
      <c r="J361" s="42">
        <f>'VaR Model'!C361</f>
        <v>45093</v>
      </c>
      <c r="K361" s="71">
        <f>'VaR Model'!D361</f>
        <v>3.9513849126228216E-3</v>
      </c>
      <c r="L361">
        <f>Backtesting!D361</f>
        <v>0</v>
      </c>
      <c r="M361" s="7">
        <f>Backtesting!F361</f>
        <v>0</v>
      </c>
    </row>
    <row r="362" spans="1:13" x14ac:dyDescent="0.35">
      <c r="A362" s="42">
        <f>'VaR Model'!C362</f>
        <v>45096</v>
      </c>
      <c r="B362" s="50">
        <f>'VaR Model'!D362</f>
        <v>-1.569382986940803E-3</v>
      </c>
      <c r="J362" s="42">
        <f>'VaR Model'!C362</f>
        <v>45096</v>
      </c>
      <c r="K362" s="71">
        <f>'VaR Model'!D362</f>
        <v>-1.569382986940803E-3</v>
      </c>
      <c r="L362">
        <f>Backtesting!D362</f>
        <v>0</v>
      </c>
      <c r="M362" s="7">
        <f>Backtesting!F362</f>
        <v>0</v>
      </c>
    </row>
    <row r="363" spans="1:13" x14ac:dyDescent="0.35">
      <c r="A363" s="42">
        <f>'VaR Model'!C363</f>
        <v>45097</v>
      </c>
      <c r="B363" s="50">
        <f>'VaR Model'!D363</f>
        <v>3.1249110105320615E-3</v>
      </c>
      <c r="J363" s="42">
        <f>'VaR Model'!C363</f>
        <v>45097</v>
      </c>
      <c r="K363" s="71">
        <f>'VaR Model'!D363</f>
        <v>3.1249110105320615E-3</v>
      </c>
      <c r="L363">
        <f>Backtesting!D363</f>
        <v>0</v>
      </c>
      <c r="M363" s="7">
        <f>Backtesting!F363</f>
        <v>0</v>
      </c>
    </row>
    <row r="364" spans="1:13" x14ac:dyDescent="0.35">
      <c r="A364" s="42">
        <f>'VaR Model'!C364</f>
        <v>45098</v>
      </c>
      <c r="B364" s="50">
        <f>'VaR Model'!D364</f>
        <v>-9.3775180271105292E-4</v>
      </c>
      <c r="J364" s="42">
        <f>'VaR Model'!C364</f>
        <v>45098</v>
      </c>
      <c r="K364" s="71">
        <f>'VaR Model'!D364</f>
        <v>-9.3775180271105292E-4</v>
      </c>
      <c r="L364">
        <f>Backtesting!D364</f>
        <v>0</v>
      </c>
      <c r="M364" s="7">
        <f>Backtesting!F364</f>
        <v>0</v>
      </c>
    </row>
    <row r="365" spans="1:13" x14ac:dyDescent="0.35">
      <c r="A365" s="42">
        <f>'VaR Model'!C365</f>
        <v>45099</v>
      </c>
      <c r="B365" s="50">
        <f>'VaR Model'!D365</f>
        <v>-5.7384763954956572E-3</v>
      </c>
      <c r="J365" s="42">
        <f>'VaR Model'!C365</f>
        <v>45099</v>
      </c>
      <c r="K365" s="71">
        <f>'VaR Model'!D365</f>
        <v>-5.7384763954956572E-3</v>
      </c>
      <c r="L365">
        <f>Backtesting!D365</f>
        <v>0</v>
      </c>
      <c r="M365" s="7">
        <f>Backtesting!F365</f>
        <v>0</v>
      </c>
    </row>
    <row r="366" spans="1:13" x14ac:dyDescent="0.35">
      <c r="A366" s="42">
        <f>'VaR Model'!C366</f>
        <v>45100</v>
      </c>
      <c r="B366" s="50">
        <f>'VaR Model'!D366</f>
        <v>-7.4007802427989624E-3</v>
      </c>
      <c r="J366" s="42">
        <f>'VaR Model'!C366</f>
        <v>45100</v>
      </c>
      <c r="K366" s="71">
        <f>'VaR Model'!D366</f>
        <v>-7.4007802427989624E-3</v>
      </c>
      <c r="L366">
        <f>Backtesting!D366</f>
        <v>0</v>
      </c>
      <c r="M366" s="7">
        <f>Backtesting!F366</f>
        <v>0</v>
      </c>
    </row>
    <row r="367" spans="1:13" x14ac:dyDescent="0.35">
      <c r="A367" s="42">
        <f>'VaR Model'!C367</f>
        <v>45103</v>
      </c>
      <c r="B367" s="50">
        <f>'VaR Model'!D367</f>
        <v>-1.0760036343874743E-3</v>
      </c>
      <c r="J367" s="42">
        <f>'VaR Model'!C367</f>
        <v>45103</v>
      </c>
      <c r="K367" s="71">
        <f>'VaR Model'!D367</f>
        <v>-1.0760036343874743E-3</v>
      </c>
      <c r="L367">
        <f>Backtesting!D367</f>
        <v>0</v>
      </c>
      <c r="M367" s="7">
        <f>Backtesting!F367</f>
        <v>0</v>
      </c>
    </row>
    <row r="368" spans="1:13" x14ac:dyDescent="0.35">
      <c r="A368" s="42">
        <f>'VaR Model'!C368</f>
        <v>45104</v>
      </c>
      <c r="B368" s="50">
        <f>'VaR Model'!D368</f>
        <v>3.5210122824488772E-3</v>
      </c>
      <c r="J368" s="42">
        <f>'VaR Model'!C368</f>
        <v>45104</v>
      </c>
      <c r="K368" s="71">
        <f>'VaR Model'!D368</f>
        <v>3.5210122824488772E-3</v>
      </c>
      <c r="L368">
        <f>Backtesting!D368</f>
        <v>0</v>
      </c>
      <c r="M368" s="7">
        <f>Backtesting!F368</f>
        <v>0</v>
      </c>
    </row>
    <row r="369" spans="1:13" x14ac:dyDescent="0.35">
      <c r="A369" s="42">
        <f>'VaR Model'!C369</f>
        <v>45105</v>
      </c>
      <c r="B369" s="50">
        <f>'VaR Model'!D369</f>
        <v>8.155707956628816E-3</v>
      </c>
      <c r="J369" s="42">
        <f>'VaR Model'!C369</f>
        <v>45105</v>
      </c>
      <c r="K369" s="71">
        <f>'VaR Model'!D369</f>
        <v>8.155707956628816E-3</v>
      </c>
      <c r="L369">
        <f>Backtesting!D369</f>
        <v>0</v>
      </c>
      <c r="M369" s="7">
        <f>Backtesting!F369</f>
        <v>0</v>
      </c>
    </row>
    <row r="370" spans="1:13" x14ac:dyDescent="0.35">
      <c r="A370" s="42">
        <f>'VaR Model'!C370</f>
        <v>45107</v>
      </c>
      <c r="B370" s="50">
        <f>'VaR Model'!D370</f>
        <v>1.3767113755492515E-2</v>
      </c>
      <c r="J370" s="42">
        <f>'VaR Model'!C370</f>
        <v>45107</v>
      </c>
      <c r="K370" s="71">
        <f>'VaR Model'!D370</f>
        <v>1.3767113755492515E-2</v>
      </c>
      <c r="L370">
        <f>Backtesting!D370</f>
        <v>0</v>
      </c>
      <c r="M370" s="7">
        <f>Backtesting!F370</f>
        <v>0</v>
      </c>
    </row>
    <row r="371" spans="1:13" x14ac:dyDescent="0.35">
      <c r="A371" s="42">
        <f>'VaR Model'!C371</f>
        <v>45110</v>
      </c>
      <c r="B371" s="50">
        <f>'VaR Model'!D371</f>
        <v>9.7638961755163942E-3</v>
      </c>
      <c r="J371" s="42">
        <f>'VaR Model'!C371</f>
        <v>45110</v>
      </c>
      <c r="K371" s="71">
        <f>'VaR Model'!D371</f>
        <v>9.7638961755163942E-3</v>
      </c>
      <c r="L371">
        <f>Backtesting!D371</f>
        <v>0</v>
      </c>
      <c r="M371" s="7">
        <f>Backtesting!F371</f>
        <v>0</v>
      </c>
    </row>
    <row r="372" spans="1:13" x14ac:dyDescent="0.35">
      <c r="A372" s="42">
        <f>'VaR Model'!C372</f>
        <v>45111</v>
      </c>
      <c r="B372" s="50">
        <f>'VaR Model'!D372</f>
        <v>3.6479088195470006E-3</v>
      </c>
      <c r="J372" s="42">
        <f>'VaR Model'!C372</f>
        <v>45111</v>
      </c>
      <c r="K372" s="71">
        <f>'VaR Model'!D372</f>
        <v>3.6479088195470006E-3</v>
      </c>
      <c r="L372">
        <f>Backtesting!D372</f>
        <v>0</v>
      </c>
      <c r="M372" s="7">
        <f>Backtesting!F372</f>
        <v>0</v>
      </c>
    </row>
    <row r="373" spans="1:13" x14ac:dyDescent="0.35">
      <c r="A373" s="42">
        <f>'VaR Model'!C373</f>
        <v>45112</v>
      </c>
      <c r="B373" s="50">
        <f>'VaR Model'!D373</f>
        <v>7.1757824177976423E-3</v>
      </c>
      <c r="J373" s="42">
        <f>'VaR Model'!C373</f>
        <v>45112</v>
      </c>
      <c r="K373" s="71">
        <f>'VaR Model'!D373</f>
        <v>7.1757824177976423E-3</v>
      </c>
      <c r="L373">
        <f>Backtesting!D373</f>
        <v>0</v>
      </c>
      <c r="M373" s="7">
        <f>Backtesting!F373</f>
        <v>0</v>
      </c>
    </row>
    <row r="374" spans="1:13" x14ac:dyDescent="0.35">
      <c r="A374" s="42">
        <f>'VaR Model'!C374</f>
        <v>45113</v>
      </c>
      <c r="B374" s="50">
        <f>'VaR Model'!D374</f>
        <v>3.6160065769969786E-3</v>
      </c>
      <c r="J374" s="42">
        <f>'VaR Model'!C374</f>
        <v>45113</v>
      </c>
      <c r="K374" s="71">
        <f>'VaR Model'!D374</f>
        <v>3.6160065769969786E-3</v>
      </c>
      <c r="L374">
        <f>Backtesting!D374</f>
        <v>0</v>
      </c>
      <c r="M374" s="7">
        <f>Backtesting!F374</f>
        <v>0</v>
      </c>
    </row>
    <row r="375" spans="1:13" x14ac:dyDescent="0.35">
      <c r="A375" s="42">
        <f>'VaR Model'!C375</f>
        <v>45114</v>
      </c>
      <c r="B375" s="50">
        <f>'VaR Model'!D375</f>
        <v>-7.1239173268995088E-3</v>
      </c>
      <c r="J375" s="42">
        <f>'VaR Model'!C375</f>
        <v>45114</v>
      </c>
      <c r="K375" s="71">
        <f>'VaR Model'!D375</f>
        <v>-7.1239173268995088E-3</v>
      </c>
      <c r="L375">
        <f>Backtesting!D375</f>
        <v>0</v>
      </c>
      <c r="M375" s="7">
        <f>Backtesting!F375</f>
        <v>0</v>
      </c>
    </row>
    <row r="376" spans="1:13" x14ac:dyDescent="0.35">
      <c r="A376" s="42">
        <f>'VaR Model'!C376</f>
        <v>45117</v>
      </c>
      <c r="B376" s="50">
        <f>'VaR Model'!D376</f>
        <v>3.2596141024580855E-3</v>
      </c>
      <c r="J376" s="42">
        <f>'VaR Model'!C376</f>
        <v>45117</v>
      </c>
      <c r="K376" s="71">
        <f>'VaR Model'!D376</f>
        <v>3.2596141024580855E-3</v>
      </c>
      <c r="L376">
        <f>Backtesting!D376</f>
        <v>0</v>
      </c>
      <c r="M376" s="7">
        <f>Backtesting!F376</f>
        <v>0</v>
      </c>
    </row>
    <row r="377" spans="1:13" x14ac:dyDescent="0.35">
      <c r="A377" s="42">
        <f>'VaR Model'!C377</f>
        <v>45118</v>
      </c>
      <c r="B377" s="50">
        <f>'VaR Model'!D377</f>
        <v>7.4723228590444927E-3</v>
      </c>
      <c r="J377" s="42">
        <f>'VaR Model'!C377</f>
        <v>45118</v>
      </c>
      <c r="K377" s="71">
        <f>'VaR Model'!D377</f>
        <v>7.4723228590444927E-3</v>
      </c>
      <c r="L377">
        <f>Backtesting!D377</f>
        <v>0</v>
      </c>
      <c r="M377" s="7">
        <f>Backtesting!F377</f>
        <v>0</v>
      </c>
    </row>
    <row r="378" spans="1:13" x14ac:dyDescent="0.35">
      <c r="A378" s="42">
        <f>'VaR Model'!C378</f>
        <v>45119</v>
      </c>
      <c r="B378" s="50">
        <f>'VaR Model'!D378</f>
        <v>-3.306139118854644E-3</v>
      </c>
      <c r="J378" s="42">
        <f>'VaR Model'!C378</f>
        <v>45119</v>
      </c>
      <c r="K378" s="71">
        <f>'VaR Model'!D378</f>
        <v>-3.306139118854644E-3</v>
      </c>
      <c r="L378">
        <f>Backtesting!D378</f>
        <v>0</v>
      </c>
      <c r="M378" s="7">
        <f>Backtesting!F378</f>
        <v>0</v>
      </c>
    </row>
    <row r="379" spans="1:13" x14ac:dyDescent="0.35">
      <c r="A379" s="42">
        <f>'VaR Model'!C379</f>
        <v>45120</v>
      </c>
      <c r="B379" s="50">
        <f>'VaR Model'!D379</f>
        <v>1.0059500168545191E-2</v>
      </c>
      <c r="J379" s="42">
        <f>'VaR Model'!C379</f>
        <v>45120</v>
      </c>
      <c r="K379" s="71">
        <f>'VaR Model'!D379</f>
        <v>1.0059500168545191E-2</v>
      </c>
      <c r="L379">
        <f>Backtesting!D379</f>
        <v>0</v>
      </c>
      <c r="M379" s="7">
        <f>Backtesting!F379</f>
        <v>0</v>
      </c>
    </row>
    <row r="380" spans="1:13" x14ac:dyDescent="0.35">
      <c r="A380" s="42">
        <f>'VaR Model'!C380</f>
        <v>45121</v>
      </c>
      <c r="B380" s="50">
        <f>'VaR Model'!D380</f>
        <v>2.0003225025938695E-2</v>
      </c>
      <c r="J380" s="42">
        <f>'VaR Model'!C380</f>
        <v>45121</v>
      </c>
      <c r="K380" s="71">
        <f>'VaR Model'!D380</f>
        <v>2.0003225025938695E-2</v>
      </c>
      <c r="L380">
        <f>Backtesting!D380</f>
        <v>0</v>
      </c>
      <c r="M380" s="7">
        <f>Backtesting!F380</f>
        <v>0</v>
      </c>
    </row>
    <row r="381" spans="1:13" x14ac:dyDescent="0.35">
      <c r="A381" s="42">
        <f>'VaR Model'!C381</f>
        <v>45124</v>
      </c>
      <c r="B381" s="50">
        <f>'VaR Model'!D381</f>
        <v>3.8759090441403436E-3</v>
      </c>
      <c r="J381" s="42">
        <f>'VaR Model'!C381</f>
        <v>45124</v>
      </c>
      <c r="K381" s="71">
        <f>'VaR Model'!D381</f>
        <v>3.8759090441403436E-3</v>
      </c>
      <c r="L381">
        <f>Backtesting!D381</f>
        <v>0</v>
      </c>
      <c r="M381" s="7">
        <f>Backtesting!F381</f>
        <v>0</v>
      </c>
    </row>
    <row r="382" spans="1:13" x14ac:dyDescent="0.35">
      <c r="A382" s="42">
        <f>'VaR Model'!C382</f>
        <v>45125</v>
      </c>
      <c r="B382" s="50">
        <f>'VaR Model'!D382</f>
        <v>1.0649822431876229E-2</v>
      </c>
      <c r="J382" s="42">
        <f>'VaR Model'!C382</f>
        <v>45125</v>
      </c>
      <c r="K382" s="71">
        <f>'VaR Model'!D382</f>
        <v>1.0649822431876229E-2</v>
      </c>
      <c r="L382">
        <f>Backtesting!D382</f>
        <v>0</v>
      </c>
      <c r="M382" s="7">
        <f>Backtesting!F382</f>
        <v>0</v>
      </c>
    </row>
    <row r="383" spans="1:13" x14ac:dyDescent="0.35">
      <c r="A383" s="42">
        <f>'VaR Model'!C383</f>
        <v>45126</v>
      </c>
      <c r="B383" s="50">
        <f>'VaR Model'!D383</f>
        <v>2.1993827421371293E-3</v>
      </c>
      <c r="J383" s="42">
        <f>'VaR Model'!C383</f>
        <v>45126</v>
      </c>
      <c r="K383" s="71">
        <f>'VaR Model'!D383</f>
        <v>2.1993827421371293E-3</v>
      </c>
      <c r="L383">
        <f>Backtesting!D383</f>
        <v>0</v>
      </c>
      <c r="M383" s="7">
        <f>Backtesting!F383</f>
        <v>0</v>
      </c>
    </row>
    <row r="384" spans="1:13" x14ac:dyDescent="0.35">
      <c r="A384" s="42">
        <f>'VaR Model'!C384</f>
        <v>45127</v>
      </c>
      <c r="B384" s="50">
        <f>'VaR Model'!D384</f>
        <v>9.1749225449902234E-3</v>
      </c>
      <c r="J384" s="42">
        <f>'VaR Model'!C384</f>
        <v>45127</v>
      </c>
      <c r="K384" s="71">
        <f>'VaR Model'!D384</f>
        <v>9.1749225449902234E-3</v>
      </c>
      <c r="L384">
        <f>Backtesting!D384</f>
        <v>0</v>
      </c>
      <c r="M384" s="7">
        <f>Backtesting!F384</f>
        <v>0</v>
      </c>
    </row>
    <row r="385" spans="1:13" x14ac:dyDescent="0.35">
      <c r="A385" s="42">
        <f>'VaR Model'!C385</f>
        <v>45128</v>
      </c>
      <c r="B385" s="50">
        <f>'VaR Model'!D385</f>
        <v>-2.9231576233355403E-2</v>
      </c>
      <c r="J385" s="42">
        <f>'VaR Model'!C385</f>
        <v>45128</v>
      </c>
      <c r="K385" s="71">
        <f>'VaR Model'!D385</f>
        <v>-2.9231576233355403E-2</v>
      </c>
      <c r="L385">
        <f>Backtesting!D385</f>
        <v>1</v>
      </c>
      <c r="M385" s="7">
        <f>Backtesting!F385</f>
        <v>1</v>
      </c>
    </row>
    <row r="386" spans="1:13" x14ac:dyDescent="0.35">
      <c r="A386" s="42">
        <f>'VaR Model'!C386</f>
        <v>45131</v>
      </c>
      <c r="B386" s="50">
        <f>'VaR Model'!D386</f>
        <v>-1.0724344435108783E-2</v>
      </c>
      <c r="J386" s="42">
        <f>'VaR Model'!C386</f>
        <v>45131</v>
      </c>
      <c r="K386" s="71">
        <f>'VaR Model'!D386</f>
        <v>-1.0724344435108783E-2</v>
      </c>
      <c r="L386">
        <f>Backtesting!D386</f>
        <v>0</v>
      </c>
      <c r="M386" s="7">
        <f>Backtesting!F386</f>
        <v>0</v>
      </c>
    </row>
    <row r="387" spans="1:13" x14ac:dyDescent="0.35">
      <c r="A387" s="42">
        <f>'VaR Model'!C387</f>
        <v>45132</v>
      </c>
      <c r="B387" s="50">
        <f>'VaR Model'!D387</f>
        <v>-3.5024311866692845E-3</v>
      </c>
      <c r="J387" s="42">
        <f>'VaR Model'!C387</f>
        <v>45132</v>
      </c>
      <c r="K387" s="71">
        <f>'VaR Model'!D387</f>
        <v>-3.5024311866692845E-3</v>
      </c>
      <c r="L387">
        <f>Backtesting!D387</f>
        <v>0</v>
      </c>
      <c r="M387" s="7">
        <f>Backtesting!F387</f>
        <v>0</v>
      </c>
    </row>
    <row r="388" spans="1:13" x14ac:dyDescent="0.35">
      <c r="A388" s="42">
        <f>'VaR Model'!C388</f>
        <v>45133</v>
      </c>
      <c r="B388" s="50">
        <f>'VaR Model'!D388</f>
        <v>9.3227223577396351E-3</v>
      </c>
      <c r="J388" s="42">
        <f>'VaR Model'!C388</f>
        <v>45133</v>
      </c>
      <c r="K388" s="71">
        <f>'VaR Model'!D388</f>
        <v>9.3227223577396351E-3</v>
      </c>
      <c r="L388">
        <f>Backtesting!D388</f>
        <v>0</v>
      </c>
      <c r="M388" s="7">
        <f>Backtesting!F388</f>
        <v>0</v>
      </c>
    </row>
    <row r="389" spans="1:13" x14ac:dyDescent="0.35">
      <c r="A389" s="42">
        <f>'VaR Model'!C389</f>
        <v>45134</v>
      </c>
      <c r="B389" s="50">
        <f>'VaR Model'!D389</f>
        <v>-5.0500094991509301E-3</v>
      </c>
      <c r="J389" s="42">
        <f>'VaR Model'!C389</f>
        <v>45134</v>
      </c>
      <c r="K389" s="71">
        <f>'VaR Model'!D389</f>
        <v>-5.0500094991509301E-3</v>
      </c>
      <c r="L389">
        <f>Backtesting!D389</f>
        <v>0</v>
      </c>
      <c r="M389" s="7">
        <f>Backtesting!F389</f>
        <v>0</v>
      </c>
    </row>
    <row r="390" spans="1:13" x14ac:dyDescent="0.35">
      <c r="A390" s="42">
        <f>'VaR Model'!C390</f>
        <v>45135</v>
      </c>
      <c r="B390" s="50">
        <f>'VaR Model'!D390</f>
        <v>3.2063979536996927E-4</v>
      </c>
      <c r="J390" s="42">
        <f>'VaR Model'!C390</f>
        <v>45135</v>
      </c>
      <c r="K390" s="71">
        <f>'VaR Model'!D390</f>
        <v>3.2063979536996927E-4</v>
      </c>
      <c r="L390">
        <f>Backtesting!D390</f>
        <v>0</v>
      </c>
      <c r="M390" s="7">
        <f>Backtesting!F390</f>
        <v>0</v>
      </c>
    </row>
    <row r="391" spans="1:13" x14ac:dyDescent="0.35">
      <c r="A391" s="42">
        <f>'VaR Model'!C391</f>
        <v>45138</v>
      </c>
      <c r="B391" s="50">
        <f>'VaR Model'!D391</f>
        <v>7.0830158831828981E-3</v>
      </c>
      <c r="J391" s="42">
        <f>'VaR Model'!C391</f>
        <v>45138</v>
      </c>
      <c r="K391" s="71">
        <f>'VaR Model'!D391</f>
        <v>7.0830158831828981E-3</v>
      </c>
      <c r="L391">
        <f>Backtesting!D391</f>
        <v>0</v>
      </c>
      <c r="M391" s="7">
        <f>Backtesting!F391</f>
        <v>0</v>
      </c>
    </row>
    <row r="392" spans="1:13" x14ac:dyDescent="0.35">
      <c r="A392" s="42">
        <f>'VaR Model'!C392</f>
        <v>45139</v>
      </c>
      <c r="B392" s="50">
        <f>'VaR Model'!D392</f>
        <v>-8.1028104538540229E-4</v>
      </c>
      <c r="J392" s="42">
        <f>'VaR Model'!C392</f>
        <v>45139</v>
      </c>
      <c r="K392" s="71">
        <f>'VaR Model'!D392</f>
        <v>-8.1028104538540229E-4</v>
      </c>
      <c r="L392">
        <f>Backtesting!D392</f>
        <v>0</v>
      </c>
      <c r="M392" s="7">
        <f>Backtesting!F392</f>
        <v>0</v>
      </c>
    </row>
    <row r="393" spans="1:13" x14ac:dyDescent="0.35">
      <c r="A393" s="42">
        <f>'VaR Model'!C393</f>
        <v>45140</v>
      </c>
      <c r="B393" s="50">
        <f>'VaR Model'!D393</f>
        <v>-7.6042462102614396E-3</v>
      </c>
      <c r="J393" s="42">
        <f>'VaR Model'!C393</f>
        <v>45140</v>
      </c>
      <c r="K393" s="71">
        <f>'VaR Model'!D393</f>
        <v>-7.6042462102614396E-3</v>
      </c>
      <c r="L393">
        <f>Backtesting!D393</f>
        <v>0</v>
      </c>
      <c r="M393" s="7">
        <f>Backtesting!F393</f>
        <v>0</v>
      </c>
    </row>
    <row r="394" spans="1:13" x14ac:dyDescent="0.35">
      <c r="A394" s="42">
        <f>'VaR Model'!C394</f>
        <v>45141</v>
      </c>
      <c r="B394" s="50">
        <f>'VaR Model'!D394</f>
        <v>-8.39497074557655E-3</v>
      </c>
      <c r="J394" s="42">
        <f>'VaR Model'!C394</f>
        <v>45141</v>
      </c>
      <c r="K394" s="71">
        <f>'VaR Model'!D394</f>
        <v>-8.39497074557655E-3</v>
      </c>
      <c r="L394">
        <f>Backtesting!D394</f>
        <v>0</v>
      </c>
      <c r="M394" s="7">
        <f>Backtesting!F394</f>
        <v>0</v>
      </c>
    </row>
    <row r="395" spans="1:13" x14ac:dyDescent="0.35">
      <c r="A395" s="42">
        <f>'VaR Model'!C395</f>
        <v>45142</v>
      </c>
      <c r="B395" s="50">
        <f>'VaR Model'!D395</f>
        <v>7.9535684971851761E-3</v>
      </c>
      <c r="J395" s="42">
        <f>'VaR Model'!C395</f>
        <v>45142</v>
      </c>
      <c r="K395" s="71">
        <f>'VaR Model'!D395</f>
        <v>7.9535684971851761E-3</v>
      </c>
      <c r="L395">
        <f>Backtesting!D395</f>
        <v>0</v>
      </c>
      <c r="M395" s="7">
        <f>Backtesting!F395</f>
        <v>0</v>
      </c>
    </row>
    <row r="396" spans="1:13" x14ac:dyDescent="0.35">
      <c r="A396" s="42">
        <f>'VaR Model'!C396</f>
        <v>45145</v>
      </c>
      <c r="B396" s="50">
        <f>'VaR Model'!D396</f>
        <v>6.6233514320364478E-3</v>
      </c>
      <c r="J396" s="42">
        <f>'VaR Model'!C396</f>
        <v>45145</v>
      </c>
      <c r="K396" s="71">
        <f>'VaR Model'!D396</f>
        <v>6.6233514320364478E-3</v>
      </c>
      <c r="L396">
        <f>Backtesting!D396</f>
        <v>0</v>
      </c>
      <c r="M396" s="7">
        <f>Backtesting!F396</f>
        <v>0</v>
      </c>
    </row>
    <row r="397" spans="1:13" x14ac:dyDescent="0.35">
      <c r="A397" s="42">
        <f>'VaR Model'!C397</f>
        <v>45146</v>
      </c>
      <c r="B397" s="50">
        <f>'VaR Model'!D397</f>
        <v>-2.6391053669431062E-3</v>
      </c>
      <c r="J397" s="42">
        <f>'VaR Model'!C397</f>
        <v>45146</v>
      </c>
      <c r="K397" s="71">
        <f>'VaR Model'!D397</f>
        <v>-2.6391053669431062E-3</v>
      </c>
      <c r="L397">
        <f>Backtesting!D397</f>
        <v>0</v>
      </c>
      <c r="M397" s="7">
        <f>Backtesting!F397</f>
        <v>0</v>
      </c>
    </row>
    <row r="398" spans="1:13" x14ac:dyDescent="0.35">
      <c r="A398" s="42">
        <f>'VaR Model'!C398</f>
        <v>45147</v>
      </c>
      <c r="B398" s="50">
        <f>'VaR Model'!D398</f>
        <v>2.7438764097621636E-3</v>
      </c>
      <c r="J398" s="42">
        <f>'VaR Model'!C398</f>
        <v>45147</v>
      </c>
      <c r="K398" s="71">
        <f>'VaR Model'!D398</f>
        <v>2.7438764097621636E-3</v>
      </c>
      <c r="L398">
        <f>Backtesting!D398</f>
        <v>0</v>
      </c>
      <c r="M398" s="7">
        <f>Backtesting!F398</f>
        <v>0</v>
      </c>
    </row>
    <row r="399" spans="1:13" x14ac:dyDescent="0.35">
      <c r="A399" s="42">
        <f>'VaR Model'!C399</f>
        <v>45148</v>
      </c>
      <c r="B399" s="50">
        <f>'VaR Model'!D399</f>
        <v>-5.8652589645537666E-3</v>
      </c>
      <c r="J399" s="42">
        <f>'VaR Model'!C399</f>
        <v>45148</v>
      </c>
      <c r="K399" s="71">
        <f>'VaR Model'!D399</f>
        <v>-5.8652589645537666E-3</v>
      </c>
      <c r="L399">
        <f>Backtesting!D399</f>
        <v>0</v>
      </c>
      <c r="M399" s="7">
        <f>Backtesting!F399</f>
        <v>0</v>
      </c>
    </row>
    <row r="400" spans="1:13" x14ac:dyDescent="0.35">
      <c r="A400" s="42">
        <f>'VaR Model'!C400</f>
        <v>45149</v>
      </c>
      <c r="B400" s="50">
        <f>'VaR Model'!D400</f>
        <v>-4.9494103056105963E-3</v>
      </c>
      <c r="J400" s="42">
        <f>'VaR Model'!C400</f>
        <v>45149</v>
      </c>
      <c r="K400" s="71">
        <f>'VaR Model'!D400</f>
        <v>-4.9494103056105963E-3</v>
      </c>
      <c r="L400">
        <f>Backtesting!D400</f>
        <v>0</v>
      </c>
      <c r="M400" s="7">
        <f>Backtesting!F400</f>
        <v>0</v>
      </c>
    </row>
    <row r="401" spans="1:13" x14ac:dyDescent="0.35">
      <c r="A401" s="42">
        <f>'VaR Model'!C401</f>
        <v>45152</v>
      </c>
      <c r="B401" s="50">
        <f>'VaR Model'!D401</f>
        <v>7.1552482754652499E-3</v>
      </c>
      <c r="J401" s="42">
        <f>'VaR Model'!C401</f>
        <v>45152</v>
      </c>
      <c r="K401" s="71">
        <f>'VaR Model'!D401</f>
        <v>7.1552482754652499E-3</v>
      </c>
      <c r="L401">
        <f>Backtesting!D401</f>
        <v>0</v>
      </c>
      <c r="M401" s="7">
        <f>Backtesting!F401</f>
        <v>0</v>
      </c>
    </row>
    <row r="402" spans="1:13" x14ac:dyDescent="0.35">
      <c r="A402" s="42">
        <f>'VaR Model'!C402</f>
        <v>45154</v>
      </c>
      <c r="B402" s="50">
        <f>'VaR Model'!D402</f>
        <v>3.7081933200088127E-3</v>
      </c>
      <c r="J402" s="42">
        <f>'VaR Model'!C402</f>
        <v>45154</v>
      </c>
      <c r="K402" s="71">
        <f>'VaR Model'!D402</f>
        <v>3.7081933200088127E-3</v>
      </c>
      <c r="L402">
        <f>Backtesting!D402</f>
        <v>0</v>
      </c>
      <c r="M402" s="7">
        <f>Backtesting!F402</f>
        <v>0</v>
      </c>
    </row>
    <row r="403" spans="1:13" x14ac:dyDescent="0.35">
      <c r="A403" s="42">
        <f>'VaR Model'!C403</f>
        <v>45155</v>
      </c>
      <c r="B403" s="50">
        <f>'VaR Model'!D403</f>
        <v>-1.0370138375018854E-2</v>
      </c>
      <c r="J403" s="42">
        <f>'VaR Model'!C403</f>
        <v>45155</v>
      </c>
      <c r="K403" s="71">
        <f>'VaR Model'!D403</f>
        <v>-1.0370138375018854E-2</v>
      </c>
      <c r="L403">
        <f>Backtesting!D403</f>
        <v>0</v>
      </c>
      <c r="M403" s="7">
        <f>Backtesting!F403</f>
        <v>0</v>
      </c>
    </row>
    <row r="404" spans="1:13" x14ac:dyDescent="0.35">
      <c r="A404" s="42">
        <f>'VaR Model'!C404</f>
        <v>45156</v>
      </c>
      <c r="B404" s="50">
        <f>'VaR Model'!D404</f>
        <v>-5.7230290934617151E-3</v>
      </c>
      <c r="J404" s="42">
        <f>'VaR Model'!C404</f>
        <v>45156</v>
      </c>
      <c r="K404" s="71">
        <f>'VaR Model'!D404</f>
        <v>-5.7230290934617151E-3</v>
      </c>
      <c r="L404">
        <f>Backtesting!D404</f>
        <v>0</v>
      </c>
      <c r="M404" s="7">
        <f>Backtesting!F404</f>
        <v>0</v>
      </c>
    </row>
    <row r="405" spans="1:13" x14ac:dyDescent="0.35">
      <c r="A405" s="42">
        <f>'VaR Model'!C405</f>
        <v>45159</v>
      </c>
      <c r="B405" s="50">
        <f>'VaR Model'!D405</f>
        <v>5.2392627179359413E-3</v>
      </c>
      <c r="J405" s="42">
        <f>'VaR Model'!C405</f>
        <v>45159</v>
      </c>
      <c r="K405" s="71">
        <f>'VaR Model'!D405</f>
        <v>5.2392627179359413E-3</v>
      </c>
      <c r="L405">
        <f>Backtesting!D405</f>
        <v>0</v>
      </c>
      <c r="M405" s="7">
        <f>Backtesting!F405</f>
        <v>0</v>
      </c>
    </row>
    <row r="406" spans="1:13" x14ac:dyDescent="0.35">
      <c r="A406" s="42">
        <f>'VaR Model'!C406</f>
        <v>45160</v>
      </c>
      <c r="B406" s="50">
        <f>'VaR Model'!D406</f>
        <v>7.5593093552700063E-4</v>
      </c>
      <c r="J406" s="42">
        <f>'VaR Model'!C406</f>
        <v>45160</v>
      </c>
      <c r="K406" s="71">
        <f>'VaR Model'!D406</f>
        <v>7.5593093552700063E-4</v>
      </c>
      <c r="L406">
        <f>Backtesting!D406</f>
        <v>0</v>
      </c>
      <c r="M406" s="7">
        <f>Backtesting!F406</f>
        <v>0</v>
      </c>
    </row>
    <row r="407" spans="1:13" x14ac:dyDescent="0.35">
      <c r="A407" s="42">
        <f>'VaR Model'!C407</f>
        <v>45161</v>
      </c>
      <c r="B407" s="50">
        <f>'VaR Model'!D407</f>
        <v>3.1833501501315198E-3</v>
      </c>
      <c r="J407" s="42">
        <f>'VaR Model'!C407</f>
        <v>45161</v>
      </c>
      <c r="K407" s="71">
        <f>'VaR Model'!D407</f>
        <v>3.1833501501315198E-3</v>
      </c>
      <c r="L407">
        <f>Backtesting!D407</f>
        <v>0</v>
      </c>
      <c r="M407" s="7">
        <f>Backtesting!F407</f>
        <v>0</v>
      </c>
    </row>
    <row r="408" spans="1:13" x14ac:dyDescent="0.35">
      <c r="A408" s="42">
        <f>'VaR Model'!C408</f>
        <v>45162</v>
      </c>
      <c r="B408" s="50">
        <f>'VaR Model'!D408</f>
        <v>-1.1634080523233166E-3</v>
      </c>
      <c r="J408" s="42">
        <f>'VaR Model'!C408</f>
        <v>45162</v>
      </c>
      <c r="K408" s="71">
        <f>'VaR Model'!D408</f>
        <v>-1.1634080523233166E-3</v>
      </c>
      <c r="L408">
        <f>Backtesting!D408</f>
        <v>0</v>
      </c>
      <c r="M408" s="7">
        <f>Backtesting!F408</f>
        <v>0</v>
      </c>
    </row>
    <row r="409" spans="1:13" x14ac:dyDescent="0.35">
      <c r="A409" s="42">
        <f>'VaR Model'!C409</f>
        <v>45163</v>
      </c>
      <c r="B409" s="50">
        <f>'VaR Model'!D409</f>
        <v>-4.8751608534062015E-3</v>
      </c>
      <c r="J409" s="42">
        <f>'VaR Model'!C409</f>
        <v>45163</v>
      </c>
      <c r="K409" s="71">
        <f>'VaR Model'!D409</f>
        <v>-4.8751608534062015E-3</v>
      </c>
      <c r="L409">
        <f>Backtesting!D409</f>
        <v>0</v>
      </c>
      <c r="M409" s="7">
        <f>Backtesting!F409</f>
        <v>0</v>
      </c>
    </row>
    <row r="410" spans="1:13" x14ac:dyDescent="0.35">
      <c r="A410" s="42">
        <f>'VaR Model'!C410</f>
        <v>45166</v>
      </c>
      <c r="B410" s="50">
        <f>'VaR Model'!D410</f>
        <v>-3.82419931565375E-3</v>
      </c>
      <c r="J410" s="42">
        <f>'VaR Model'!C410</f>
        <v>45166</v>
      </c>
      <c r="K410" s="71">
        <f>'VaR Model'!D410</f>
        <v>-3.82419931565375E-3</v>
      </c>
      <c r="L410">
        <f>Backtesting!D410</f>
        <v>0</v>
      </c>
      <c r="M410" s="7">
        <f>Backtesting!F410</f>
        <v>0</v>
      </c>
    </row>
    <row r="411" spans="1:13" x14ac:dyDescent="0.35">
      <c r="A411" s="42">
        <f>'VaR Model'!C411</f>
        <v>45167</v>
      </c>
      <c r="B411" s="50">
        <f>'VaR Model'!D411</f>
        <v>-2.77530835719806E-3</v>
      </c>
      <c r="J411" s="42">
        <f>'VaR Model'!C411</f>
        <v>45167</v>
      </c>
      <c r="K411" s="71">
        <f>'VaR Model'!D411</f>
        <v>-2.77530835719806E-3</v>
      </c>
      <c r="L411">
        <f>Backtesting!D411</f>
        <v>0</v>
      </c>
      <c r="M411" s="7">
        <f>Backtesting!F411</f>
        <v>0</v>
      </c>
    </row>
    <row r="412" spans="1:13" x14ac:dyDescent="0.35">
      <c r="A412" s="42">
        <f>'VaR Model'!C412</f>
        <v>45168</v>
      </c>
      <c r="B412" s="50">
        <f>'VaR Model'!D412</f>
        <v>2.5233001768882771E-3</v>
      </c>
      <c r="J412" s="42">
        <f>'VaR Model'!C412</f>
        <v>45168</v>
      </c>
      <c r="K412" s="71">
        <f>'VaR Model'!D412</f>
        <v>2.5233001768882771E-3</v>
      </c>
      <c r="L412">
        <f>Backtesting!D412</f>
        <v>0</v>
      </c>
      <c r="M412" s="7">
        <f>Backtesting!F412</f>
        <v>0</v>
      </c>
    </row>
    <row r="413" spans="1:13" x14ac:dyDescent="0.35">
      <c r="A413" s="42">
        <f>'VaR Model'!C413</f>
        <v>45169</v>
      </c>
      <c r="B413" s="50">
        <f>'VaR Model'!D413</f>
        <v>-4.334228558708195E-3</v>
      </c>
      <c r="J413" s="42">
        <f>'VaR Model'!C413</f>
        <v>45169</v>
      </c>
      <c r="K413" s="71">
        <f>'VaR Model'!D413</f>
        <v>-4.334228558708195E-3</v>
      </c>
      <c r="L413">
        <f>Backtesting!D413</f>
        <v>0</v>
      </c>
      <c r="M413" s="7">
        <f>Backtesting!F413</f>
        <v>0</v>
      </c>
    </row>
    <row r="414" spans="1:13" x14ac:dyDescent="0.35">
      <c r="A414" s="42">
        <f>'VaR Model'!C414</f>
        <v>45170</v>
      </c>
      <c r="B414" s="50">
        <f>'VaR Model'!D414</f>
        <v>5.6438217094995176E-3</v>
      </c>
      <c r="J414" s="42">
        <f>'VaR Model'!C414</f>
        <v>45170</v>
      </c>
      <c r="K414" s="71">
        <f>'VaR Model'!D414</f>
        <v>5.6438217094995176E-3</v>
      </c>
      <c r="L414">
        <f>Backtesting!D414</f>
        <v>0</v>
      </c>
      <c r="M414" s="7">
        <f>Backtesting!F414</f>
        <v>0</v>
      </c>
    </row>
    <row r="415" spans="1:13" x14ac:dyDescent="0.35">
      <c r="A415" s="42">
        <f>'VaR Model'!C415</f>
        <v>45173</v>
      </c>
      <c r="B415" s="50">
        <f>'VaR Model'!D415</f>
        <v>3.1776832816697636E-3</v>
      </c>
      <c r="J415" s="42">
        <f>'VaR Model'!C415</f>
        <v>45173</v>
      </c>
      <c r="K415" s="71">
        <f>'VaR Model'!D415</f>
        <v>3.1776832816697636E-3</v>
      </c>
      <c r="L415">
        <f>Backtesting!D415</f>
        <v>0</v>
      </c>
      <c r="M415" s="7">
        <f>Backtesting!F415</f>
        <v>0</v>
      </c>
    </row>
    <row r="416" spans="1:13" x14ac:dyDescent="0.35">
      <c r="A416" s="42">
        <f>'VaR Model'!C416</f>
        <v>45174</v>
      </c>
      <c r="B416" s="50">
        <f>'VaR Model'!D416</f>
        <v>6.3376444542068439E-3</v>
      </c>
      <c r="J416" s="42">
        <f>'VaR Model'!C416</f>
        <v>45174</v>
      </c>
      <c r="K416" s="71">
        <f>'VaR Model'!D416</f>
        <v>6.3376444542068439E-3</v>
      </c>
      <c r="L416">
        <f>Backtesting!D416</f>
        <v>0</v>
      </c>
      <c r="M416" s="7">
        <f>Backtesting!F416</f>
        <v>0</v>
      </c>
    </row>
    <row r="417" spans="1:13" x14ac:dyDescent="0.35">
      <c r="A417" s="42">
        <f>'VaR Model'!C417</f>
        <v>45175</v>
      </c>
      <c r="B417" s="50">
        <f>'VaR Model'!D417</f>
        <v>-5.577211993770901E-5</v>
      </c>
      <c r="J417" s="42">
        <f>'VaR Model'!C417</f>
        <v>45175</v>
      </c>
      <c r="K417" s="71">
        <f>'VaR Model'!D417</f>
        <v>-5.577211993770901E-5</v>
      </c>
      <c r="L417">
        <f>Backtesting!D417</f>
        <v>0</v>
      </c>
      <c r="M417" s="7">
        <f>Backtesting!F417</f>
        <v>0</v>
      </c>
    </row>
    <row r="418" spans="1:13" x14ac:dyDescent="0.35">
      <c r="A418" s="42">
        <f>'VaR Model'!C418</f>
        <v>45176</v>
      </c>
      <c r="B418" s="50">
        <f>'VaR Model'!D418</f>
        <v>1.219107472820589E-3</v>
      </c>
      <c r="J418" s="42">
        <f>'VaR Model'!C418</f>
        <v>45176</v>
      </c>
      <c r="K418" s="71">
        <f>'VaR Model'!D418</f>
        <v>1.219107472820589E-3</v>
      </c>
      <c r="L418">
        <f>Backtesting!D418</f>
        <v>0</v>
      </c>
      <c r="M418" s="7">
        <f>Backtesting!F418</f>
        <v>0</v>
      </c>
    </row>
    <row r="419" spans="1:13" x14ac:dyDescent="0.35">
      <c r="A419" s="42">
        <f>'VaR Model'!C419</f>
        <v>45177</v>
      </c>
      <c r="B419" s="50">
        <f>'VaR Model'!D419</f>
        <v>5.6382825950368801E-4</v>
      </c>
      <c r="J419" s="42">
        <f>'VaR Model'!C419</f>
        <v>45177</v>
      </c>
      <c r="K419" s="71">
        <f>'VaR Model'!D419</f>
        <v>5.6382825950368801E-4</v>
      </c>
      <c r="L419">
        <f>Backtesting!D419</f>
        <v>0</v>
      </c>
      <c r="M419" s="7">
        <f>Backtesting!F419</f>
        <v>0</v>
      </c>
    </row>
    <row r="420" spans="1:13" x14ac:dyDescent="0.35">
      <c r="A420" s="42">
        <f>'VaR Model'!C420</f>
        <v>45180</v>
      </c>
      <c r="B420" s="50">
        <f>'VaR Model'!D420</f>
        <v>8.9438069712890131E-3</v>
      </c>
      <c r="J420" s="42">
        <f>'VaR Model'!C420</f>
        <v>45180</v>
      </c>
      <c r="K420" s="71">
        <f>'VaR Model'!D420</f>
        <v>8.9438069712890131E-3</v>
      </c>
      <c r="L420">
        <f>Backtesting!D420</f>
        <v>0</v>
      </c>
      <c r="M420" s="7">
        <f>Backtesting!F420</f>
        <v>0</v>
      </c>
    </row>
    <row r="421" spans="1:13" x14ac:dyDescent="0.35">
      <c r="A421" s="42">
        <f>'VaR Model'!C421</f>
        <v>45181</v>
      </c>
      <c r="B421" s="50">
        <f>'VaR Model'!D421</f>
        <v>1.0319167647179153E-2</v>
      </c>
      <c r="J421" s="42">
        <f>'VaR Model'!C421</f>
        <v>45181</v>
      </c>
      <c r="K421" s="71">
        <f>'VaR Model'!D421</f>
        <v>1.0319167647179153E-2</v>
      </c>
      <c r="L421">
        <f>Backtesting!D421</f>
        <v>0</v>
      </c>
      <c r="M421" s="7">
        <f>Backtesting!F421</f>
        <v>0</v>
      </c>
    </row>
    <row r="422" spans="1:13" x14ac:dyDescent="0.35">
      <c r="A422" s="42">
        <f>'VaR Model'!C422</f>
        <v>45182</v>
      </c>
      <c r="B422" s="50">
        <f>'VaR Model'!D422</f>
        <v>8.0737506417791769E-4</v>
      </c>
      <c r="J422" s="42">
        <f>'VaR Model'!C422</f>
        <v>45182</v>
      </c>
      <c r="K422" s="71">
        <f>'VaR Model'!D422</f>
        <v>8.0737506417791769E-4</v>
      </c>
      <c r="L422">
        <f>Backtesting!D422</f>
        <v>0</v>
      </c>
      <c r="M422" s="7">
        <f>Backtesting!F422</f>
        <v>0</v>
      </c>
    </row>
    <row r="423" spans="1:13" x14ac:dyDescent="0.35">
      <c r="A423" s="42">
        <f>'VaR Model'!C423</f>
        <v>45183</v>
      </c>
      <c r="B423" s="50">
        <f>'VaR Model'!D423</f>
        <v>-1.1069203389120941E-3</v>
      </c>
      <c r="J423" s="42">
        <f>'VaR Model'!C423</f>
        <v>45183</v>
      </c>
      <c r="K423" s="71">
        <f>'VaR Model'!D423</f>
        <v>-1.1069203389120941E-3</v>
      </c>
      <c r="L423">
        <f>Backtesting!D423</f>
        <v>0</v>
      </c>
      <c r="M423" s="7">
        <f>Backtesting!F423</f>
        <v>0</v>
      </c>
    </row>
    <row r="424" spans="1:13" x14ac:dyDescent="0.35">
      <c r="A424" s="42">
        <f>'VaR Model'!C424</f>
        <v>45184</v>
      </c>
      <c r="B424" s="50">
        <f>'VaR Model'!D424</f>
        <v>3.3688678355201138E-3</v>
      </c>
      <c r="J424" s="42">
        <f>'VaR Model'!C424</f>
        <v>45184</v>
      </c>
      <c r="K424" s="71">
        <f>'VaR Model'!D424</f>
        <v>3.3688678355201138E-3</v>
      </c>
      <c r="L424">
        <f>Backtesting!D424</f>
        <v>0</v>
      </c>
      <c r="M424" s="7">
        <f>Backtesting!F424</f>
        <v>0</v>
      </c>
    </row>
    <row r="425" spans="1:13" x14ac:dyDescent="0.35">
      <c r="A425" s="42">
        <f>'VaR Model'!C425</f>
        <v>45187</v>
      </c>
      <c r="B425" s="50">
        <f>'VaR Model'!D425</f>
        <v>-2.7624783566495572E-3</v>
      </c>
      <c r="J425" s="42">
        <f>'VaR Model'!C425</f>
        <v>45187</v>
      </c>
      <c r="K425" s="71">
        <f>'VaR Model'!D425</f>
        <v>-2.7624783566495572E-3</v>
      </c>
      <c r="L425">
        <f>Backtesting!D425</f>
        <v>0</v>
      </c>
      <c r="M425" s="7">
        <f>Backtesting!F425</f>
        <v>0</v>
      </c>
    </row>
    <row r="426" spans="1:13" x14ac:dyDescent="0.35">
      <c r="A426" s="42">
        <f>'VaR Model'!C426</f>
        <v>45189</v>
      </c>
      <c r="B426" s="50">
        <f>'VaR Model'!D426</f>
        <v>-4.936232343830887E-3</v>
      </c>
      <c r="J426" s="42">
        <f>'VaR Model'!C426</f>
        <v>45189</v>
      </c>
      <c r="K426" s="71">
        <f>'VaR Model'!D426</f>
        <v>-4.936232343830887E-3</v>
      </c>
      <c r="L426">
        <f>Backtesting!D426</f>
        <v>0</v>
      </c>
      <c r="M426" s="7">
        <f>Backtesting!F426</f>
        <v>0</v>
      </c>
    </row>
    <row r="427" spans="1:13" x14ac:dyDescent="0.35">
      <c r="A427" s="42">
        <f>'VaR Model'!C427</f>
        <v>45190</v>
      </c>
      <c r="B427" s="50">
        <f>'VaR Model'!D427</f>
        <v>-9.2255996611770204E-3</v>
      </c>
      <c r="J427" s="42">
        <f>'VaR Model'!C427</f>
        <v>45190</v>
      </c>
      <c r="K427" s="71">
        <f>'VaR Model'!D427</f>
        <v>-9.2255996611770204E-3</v>
      </c>
      <c r="L427">
        <f>Backtesting!D427</f>
        <v>0</v>
      </c>
      <c r="M427" s="7">
        <f>Backtesting!F427</f>
        <v>0</v>
      </c>
    </row>
    <row r="428" spans="1:13" x14ac:dyDescent="0.35">
      <c r="A428" s="42">
        <f>'VaR Model'!C428</f>
        <v>45191</v>
      </c>
      <c r="B428" s="50">
        <f>'VaR Model'!D428</f>
        <v>-4.4206704400833186E-3</v>
      </c>
      <c r="J428" s="42">
        <f>'VaR Model'!C428</f>
        <v>45191</v>
      </c>
      <c r="K428" s="71">
        <f>'VaR Model'!D428</f>
        <v>-4.4206704400833186E-3</v>
      </c>
      <c r="L428">
        <f>Backtesting!D428</f>
        <v>0</v>
      </c>
      <c r="M428" s="7">
        <f>Backtesting!F428</f>
        <v>0</v>
      </c>
    </row>
    <row r="429" spans="1:13" x14ac:dyDescent="0.35">
      <c r="A429" s="42">
        <f>'VaR Model'!C429</f>
        <v>45194</v>
      </c>
      <c r="B429" s="50">
        <f>'VaR Model'!D429</f>
        <v>-4.6346118934960569E-3</v>
      </c>
      <c r="J429" s="42">
        <f>'VaR Model'!C429</f>
        <v>45194</v>
      </c>
      <c r="K429" s="71">
        <f>'VaR Model'!D429</f>
        <v>-4.6346118934960569E-3</v>
      </c>
      <c r="L429">
        <f>Backtesting!D429</f>
        <v>0</v>
      </c>
      <c r="M429" s="7">
        <f>Backtesting!F429</f>
        <v>0</v>
      </c>
    </row>
    <row r="430" spans="1:13" x14ac:dyDescent="0.35">
      <c r="A430" s="42">
        <f>'VaR Model'!C430</f>
        <v>45195</v>
      </c>
      <c r="B430" s="50">
        <f>'VaR Model'!D430</f>
        <v>-2.8605395537398721E-3</v>
      </c>
      <c r="J430" s="42">
        <f>'VaR Model'!C430</f>
        <v>45195</v>
      </c>
      <c r="K430" s="71">
        <f>'VaR Model'!D430</f>
        <v>-2.8605395537398721E-3</v>
      </c>
      <c r="L430">
        <f>Backtesting!D430</f>
        <v>0</v>
      </c>
      <c r="M430" s="7">
        <f>Backtesting!F430</f>
        <v>0</v>
      </c>
    </row>
    <row r="431" spans="1:13" x14ac:dyDescent="0.35">
      <c r="A431" s="42">
        <f>'VaR Model'!C431</f>
        <v>45196</v>
      </c>
      <c r="B431" s="50">
        <f>'VaR Model'!D431</f>
        <v>5.1334806815661917E-3</v>
      </c>
      <c r="J431" s="42">
        <f>'VaR Model'!C431</f>
        <v>45196</v>
      </c>
      <c r="K431" s="71">
        <f>'VaR Model'!D431</f>
        <v>5.1334806815661917E-3</v>
      </c>
      <c r="L431">
        <f>Backtesting!D431</f>
        <v>0</v>
      </c>
      <c r="M431" s="7">
        <f>Backtesting!F431</f>
        <v>0</v>
      </c>
    </row>
    <row r="432" spans="1:13" x14ac:dyDescent="0.35">
      <c r="A432" s="42">
        <f>'VaR Model'!C432</f>
        <v>45197</v>
      </c>
      <c r="B432" s="50">
        <f>'VaR Model'!D432</f>
        <v>-1.3585651966684221E-2</v>
      </c>
      <c r="J432" s="42">
        <f>'VaR Model'!C432</f>
        <v>45197</v>
      </c>
      <c r="K432" s="71">
        <f>'VaR Model'!D432</f>
        <v>-1.3585651966684221E-2</v>
      </c>
      <c r="L432">
        <f>Backtesting!D432</f>
        <v>0</v>
      </c>
      <c r="M432" s="7">
        <f>Backtesting!F432</f>
        <v>0</v>
      </c>
    </row>
    <row r="433" spans="1:13" x14ac:dyDescent="0.35">
      <c r="A433" s="42">
        <f>'VaR Model'!C433</f>
        <v>45198</v>
      </c>
      <c r="B433" s="50">
        <f>'VaR Model'!D433</f>
        <v>3.5314728746783288E-3</v>
      </c>
      <c r="J433" s="42">
        <f>'VaR Model'!C433</f>
        <v>45198</v>
      </c>
      <c r="K433" s="71">
        <f>'VaR Model'!D433</f>
        <v>3.5314728746783288E-3</v>
      </c>
      <c r="L433">
        <f>Backtesting!D433</f>
        <v>0</v>
      </c>
      <c r="M433" s="7">
        <f>Backtesting!F433</f>
        <v>0</v>
      </c>
    </row>
    <row r="434" spans="1:13" x14ac:dyDescent="0.35">
      <c r="A434" s="42">
        <f>'VaR Model'!C434</f>
        <v>45202</v>
      </c>
      <c r="B434" s="50">
        <f>'VaR Model'!D434</f>
        <v>-7.9019849543183543E-3</v>
      </c>
      <c r="J434" s="42">
        <f>'VaR Model'!C434</f>
        <v>45202</v>
      </c>
      <c r="K434" s="71">
        <f>'VaR Model'!D434</f>
        <v>-7.9019849543183543E-3</v>
      </c>
      <c r="L434">
        <f>Backtesting!D434</f>
        <v>0</v>
      </c>
      <c r="M434" s="7">
        <f>Backtesting!F434</f>
        <v>0</v>
      </c>
    </row>
    <row r="435" spans="1:13" x14ac:dyDescent="0.35">
      <c r="A435" s="42">
        <f>'VaR Model'!C435</f>
        <v>45203</v>
      </c>
      <c r="B435" s="50">
        <f>'VaR Model'!D435</f>
        <v>-1.4078684383040771E-3</v>
      </c>
      <c r="J435" s="42">
        <f>'VaR Model'!C435</f>
        <v>45203</v>
      </c>
      <c r="K435" s="71">
        <f>'VaR Model'!D435</f>
        <v>-1.4078684383040771E-3</v>
      </c>
      <c r="L435">
        <f>Backtesting!D435</f>
        <v>0</v>
      </c>
      <c r="M435" s="7">
        <f>Backtesting!F435</f>
        <v>0</v>
      </c>
    </row>
    <row r="436" spans="1:13" x14ac:dyDescent="0.35">
      <c r="A436" s="42">
        <f>'VaR Model'!C436</f>
        <v>45204</v>
      </c>
      <c r="B436" s="50">
        <f>'VaR Model'!D436</f>
        <v>7.8049052499415336E-3</v>
      </c>
      <c r="J436" s="42">
        <f>'VaR Model'!C436</f>
        <v>45204</v>
      </c>
      <c r="K436" s="71">
        <f>'VaR Model'!D436</f>
        <v>7.8049052499415336E-3</v>
      </c>
      <c r="L436">
        <f>Backtesting!D436</f>
        <v>0</v>
      </c>
      <c r="M436" s="7">
        <f>Backtesting!F436</f>
        <v>0</v>
      </c>
    </row>
    <row r="437" spans="1:13" x14ac:dyDescent="0.35">
      <c r="A437" s="42">
        <f>'VaR Model'!C437</f>
        <v>45205</v>
      </c>
      <c r="B437" s="50">
        <f>'VaR Model'!D437</f>
        <v>7.8879711459264798E-3</v>
      </c>
      <c r="J437" s="42">
        <f>'VaR Model'!C437</f>
        <v>45205</v>
      </c>
      <c r="K437" s="71">
        <f>'VaR Model'!D437</f>
        <v>7.8879711459264798E-3</v>
      </c>
      <c r="L437">
        <f>Backtesting!D437</f>
        <v>0</v>
      </c>
      <c r="M437" s="7">
        <f>Backtesting!F437</f>
        <v>0</v>
      </c>
    </row>
    <row r="438" spans="1:13" x14ac:dyDescent="0.35">
      <c r="A438" s="42">
        <f>'VaR Model'!C438</f>
        <v>45208</v>
      </c>
      <c r="B438" s="50">
        <f>'VaR Model'!D438</f>
        <v>-3.3892187217344823E-3</v>
      </c>
      <c r="J438" s="42">
        <f>'VaR Model'!C438</f>
        <v>45208</v>
      </c>
      <c r="K438" s="71">
        <f>'VaR Model'!D438</f>
        <v>-3.3892187217344823E-3</v>
      </c>
      <c r="L438">
        <f>Backtesting!D438</f>
        <v>0</v>
      </c>
      <c r="M438" s="7">
        <f>Backtesting!F438</f>
        <v>0</v>
      </c>
    </row>
    <row r="439" spans="1:13" x14ac:dyDescent="0.35">
      <c r="A439" s="42">
        <f>'VaR Model'!C439</f>
        <v>45209</v>
      </c>
      <c r="B439" s="50">
        <f>'VaR Model'!D439</f>
        <v>7.4670487036146245E-3</v>
      </c>
      <c r="J439" s="42">
        <f>'VaR Model'!C439</f>
        <v>45209</v>
      </c>
      <c r="K439" s="71">
        <f>'VaR Model'!D439</f>
        <v>7.4670487036146245E-3</v>
      </c>
      <c r="L439">
        <f>Backtesting!D439</f>
        <v>0</v>
      </c>
      <c r="M439" s="7">
        <f>Backtesting!F439</f>
        <v>0</v>
      </c>
    </row>
    <row r="440" spans="1:13" x14ac:dyDescent="0.35">
      <c r="A440" s="42">
        <f>'VaR Model'!C440</f>
        <v>45210</v>
      </c>
      <c r="B440" s="50">
        <f>'VaR Model'!D440</f>
        <v>4.1252165569333876E-3</v>
      </c>
      <c r="J440" s="42">
        <f>'VaR Model'!C440</f>
        <v>45210</v>
      </c>
      <c r="K440" s="71">
        <f>'VaR Model'!D440</f>
        <v>4.1252165569333876E-3</v>
      </c>
      <c r="L440">
        <f>Backtesting!D440</f>
        <v>0</v>
      </c>
      <c r="M440" s="7">
        <f>Backtesting!F440</f>
        <v>0</v>
      </c>
    </row>
    <row r="441" spans="1:13" x14ac:dyDescent="0.35">
      <c r="A441" s="42">
        <f>'VaR Model'!C441</f>
        <v>45211</v>
      </c>
      <c r="B441" s="50">
        <f>'VaR Model'!D441</f>
        <v>-5.9704084804678044E-3</v>
      </c>
      <c r="J441" s="42">
        <f>'VaR Model'!C441</f>
        <v>45211</v>
      </c>
      <c r="K441" s="71">
        <f>'VaR Model'!D441</f>
        <v>-5.9704084804678044E-3</v>
      </c>
      <c r="L441">
        <f>Backtesting!D441</f>
        <v>0</v>
      </c>
      <c r="M441" s="7">
        <f>Backtesting!F441</f>
        <v>0</v>
      </c>
    </row>
    <row r="442" spans="1:13" x14ac:dyDescent="0.35">
      <c r="A442" s="42">
        <f>'VaR Model'!C442</f>
        <v>45212</v>
      </c>
      <c r="B442" s="50">
        <f>'VaR Model'!D442</f>
        <v>-4.8291160308769846E-3</v>
      </c>
      <c r="J442" s="42">
        <f>'VaR Model'!C442</f>
        <v>45212</v>
      </c>
      <c r="K442" s="71">
        <f>'VaR Model'!D442</f>
        <v>-4.8291160308769846E-3</v>
      </c>
      <c r="L442">
        <f>Backtesting!D442</f>
        <v>0</v>
      </c>
      <c r="M442" s="7">
        <f>Backtesting!F442</f>
        <v>0</v>
      </c>
    </row>
    <row r="443" spans="1:13" x14ac:dyDescent="0.35">
      <c r="A443" s="42">
        <f>'VaR Model'!C443</f>
        <v>45215</v>
      </c>
      <c r="B443" s="50">
        <f>'VaR Model'!D443</f>
        <v>-2.3769268294697955E-3</v>
      </c>
      <c r="J443" s="42">
        <f>'VaR Model'!C443</f>
        <v>45215</v>
      </c>
      <c r="K443" s="71">
        <f>'VaR Model'!D443</f>
        <v>-2.3769268294697955E-3</v>
      </c>
      <c r="L443">
        <f>Backtesting!D443</f>
        <v>0</v>
      </c>
      <c r="M443" s="7">
        <f>Backtesting!F443</f>
        <v>0</v>
      </c>
    </row>
    <row r="444" spans="1:13" x14ac:dyDescent="0.35">
      <c r="A444" s="42">
        <f>'VaR Model'!C444</f>
        <v>45216</v>
      </c>
      <c r="B444" s="50">
        <f>'VaR Model'!D444</f>
        <v>3.6622766492466125E-3</v>
      </c>
      <c r="J444" s="42">
        <f>'VaR Model'!C444</f>
        <v>45216</v>
      </c>
      <c r="K444" s="71">
        <f>'VaR Model'!D444</f>
        <v>3.6622766492466125E-3</v>
      </c>
      <c r="L444">
        <f>Backtesting!D444</f>
        <v>0</v>
      </c>
      <c r="M444" s="7">
        <f>Backtesting!F444</f>
        <v>0</v>
      </c>
    </row>
    <row r="445" spans="1:13" x14ac:dyDescent="0.35">
      <c r="A445" s="42">
        <f>'VaR Model'!C445</f>
        <v>45217</v>
      </c>
      <c r="B445" s="50">
        <f>'VaR Model'!D445</f>
        <v>-7.002068981403561E-3</v>
      </c>
      <c r="J445" s="42">
        <f>'VaR Model'!C445</f>
        <v>45217</v>
      </c>
      <c r="K445" s="71">
        <f>'VaR Model'!D445</f>
        <v>-7.002068981403561E-3</v>
      </c>
      <c r="L445">
        <f>Backtesting!D445</f>
        <v>0</v>
      </c>
      <c r="M445" s="7">
        <f>Backtesting!F445</f>
        <v>0</v>
      </c>
    </row>
    <row r="446" spans="1:13" x14ac:dyDescent="0.35">
      <c r="A446" s="42">
        <f>'VaR Model'!C446</f>
        <v>45218</v>
      </c>
      <c r="B446" s="50">
        <f>'VaR Model'!D446</f>
        <v>-6.5843239824843001E-3</v>
      </c>
      <c r="J446" s="42">
        <f>'VaR Model'!C446</f>
        <v>45218</v>
      </c>
      <c r="K446" s="71">
        <f>'VaR Model'!D446</f>
        <v>-6.5843239824843001E-3</v>
      </c>
      <c r="L446">
        <f>Backtesting!D446</f>
        <v>0</v>
      </c>
      <c r="M446" s="7">
        <f>Backtesting!F446</f>
        <v>0</v>
      </c>
    </row>
    <row r="447" spans="1:13" x14ac:dyDescent="0.35">
      <c r="A447" s="42">
        <f>'VaR Model'!C447</f>
        <v>45219</v>
      </c>
      <c r="B447" s="50">
        <f>'VaR Model'!D447</f>
        <v>-5.3538677486835431E-3</v>
      </c>
      <c r="J447" s="42">
        <f>'VaR Model'!C447</f>
        <v>45219</v>
      </c>
      <c r="K447" s="71">
        <f>'VaR Model'!D447</f>
        <v>-5.3538677486835431E-3</v>
      </c>
      <c r="L447">
        <f>Backtesting!D447</f>
        <v>0</v>
      </c>
      <c r="M447" s="7">
        <f>Backtesting!F447</f>
        <v>0</v>
      </c>
    </row>
    <row r="448" spans="1:13" x14ac:dyDescent="0.35">
      <c r="A448" s="42">
        <f>'VaR Model'!C448</f>
        <v>45222</v>
      </c>
      <c r="B448" s="50">
        <f>'VaR Model'!D448</f>
        <v>-1.2359162669983669E-2</v>
      </c>
      <c r="J448" s="42">
        <f>'VaR Model'!C448</f>
        <v>45222</v>
      </c>
      <c r="K448" s="71">
        <f>'VaR Model'!D448</f>
        <v>-1.2359162669983669E-2</v>
      </c>
      <c r="L448">
        <f>Backtesting!D448</f>
        <v>0</v>
      </c>
      <c r="M448" s="7">
        <f>Backtesting!F448</f>
        <v>0</v>
      </c>
    </row>
    <row r="449" spans="1:13" x14ac:dyDescent="0.35">
      <c r="A449" s="42">
        <f>'VaR Model'!C449</f>
        <v>45224</v>
      </c>
      <c r="B449" s="50">
        <f>'VaR Model'!D449</f>
        <v>-1.1678157279546861E-2</v>
      </c>
      <c r="J449" s="42">
        <f>'VaR Model'!C449</f>
        <v>45224</v>
      </c>
      <c r="K449" s="71">
        <f>'VaR Model'!D449</f>
        <v>-1.1678157279546861E-2</v>
      </c>
      <c r="L449">
        <f>Backtesting!D449</f>
        <v>0</v>
      </c>
      <c r="M449" s="7">
        <f>Backtesting!F449</f>
        <v>0</v>
      </c>
    </row>
    <row r="450" spans="1:13" x14ac:dyDescent="0.35">
      <c r="A450" s="42">
        <f>'VaR Model'!C450</f>
        <v>45225</v>
      </c>
      <c r="B450" s="50">
        <f>'VaR Model'!D450</f>
        <v>-8.4028726008561986E-3</v>
      </c>
      <c r="J450" s="42">
        <f>'VaR Model'!C450</f>
        <v>45225</v>
      </c>
      <c r="K450" s="71">
        <f>'VaR Model'!D450</f>
        <v>-8.4028726008561986E-3</v>
      </c>
      <c r="L450">
        <f>Backtesting!D450</f>
        <v>0</v>
      </c>
      <c r="M450" s="7">
        <f>Backtesting!F450</f>
        <v>0</v>
      </c>
    </row>
    <row r="451" spans="1:13" x14ac:dyDescent="0.35">
      <c r="A451" s="42">
        <f>'VaR Model'!C451</f>
        <v>45226</v>
      </c>
      <c r="B451" s="50">
        <f>'VaR Model'!D451</f>
        <v>8.0227982413321342E-3</v>
      </c>
      <c r="J451" s="42">
        <f>'VaR Model'!C451</f>
        <v>45226</v>
      </c>
      <c r="K451" s="71">
        <f>'VaR Model'!D451</f>
        <v>8.0227982413321342E-3</v>
      </c>
      <c r="L451">
        <f>Backtesting!D451</f>
        <v>0</v>
      </c>
      <c r="M451" s="7">
        <f>Backtesting!F451</f>
        <v>0</v>
      </c>
    </row>
    <row r="452" spans="1:13" x14ac:dyDescent="0.35">
      <c r="A452" s="42">
        <f>'VaR Model'!C452</f>
        <v>45229</v>
      </c>
      <c r="B452" s="50">
        <f>'VaR Model'!D452</f>
        <v>6.3603312024259426E-3</v>
      </c>
      <c r="J452" s="42">
        <f>'VaR Model'!C452</f>
        <v>45229</v>
      </c>
      <c r="K452" s="71">
        <f>'VaR Model'!D452</f>
        <v>6.3603312024259426E-3</v>
      </c>
      <c r="L452">
        <f>Backtesting!D452</f>
        <v>0</v>
      </c>
      <c r="M452" s="7">
        <f>Backtesting!F452</f>
        <v>0</v>
      </c>
    </row>
    <row r="453" spans="1:13" x14ac:dyDescent="0.35">
      <c r="A453" s="42">
        <f>'VaR Model'!C453</f>
        <v>45230</v>
      </c>
      <c r="B453" s="50">
        <f>'VaR Model'!D453</f>
        <v>-7.0112235845863711E-3</v>
      </c>
      <c r="J453" s="42">
        <f>'VaR Model'!C453</f>
        <v>45230</v>
      </c>
      <c r="K453" s="71">
        <f>'VaR Model'!D453</f>
        <v>-7.0112235845863711E-3</v>
      </c>
      <c r="L453">
        <f>Backtesting!D453</f>
        <v>0</v>
      </c>
      <c r="M453" s="7">
        <f>Backtesting!F453</f>
        <v>0</v>
      </c>
    </row>
    <row r="454" spans="1:13" x14ac:dyDescent="0.35">
      <c r="A454" s="42">
        <f>'VaR Model'!C454</f>
        <v>45231</v>
      </c>
      <c r="B454" s="50">
        <f>'VaR Model'!D454</f>
        <v>-3.9619616469618946E-3</v>
      </c>
      <c r="J454" s="42">
        <f>'VaR Model'!C454</f>
        <v>45231</v>
      </c>
      <c r="K454" s="71">
        <f>'VaR Model'!D454</f>
        <v>-3.9619616469618946E-3</v>
      </c>
      <c r="L454">
        <f>Backtesting!D454</f>
        <v>0</v>
      </c>
      <c r="M454" s="7">
        <f>Backtesting!F454</f>
        <v>0</v>
      </c>
    </row>
    <row r="455" spans="1:13" x14ac:dyDescent="0.35">
      <c r="A455" s="42">
        <f>'VaR Model'!C455</f>
        <v>45232</v>
      </c>
      <c r="B455" s="50">
        <f>'VaR Model'!D455</f>
        <v>8.7887095556393891E-3</v>
      </c>
      <c r="J455" s="42">
        <f>'VaR Model'!C455</f>
        <v>45232</v>
      </c>
      <c r="K455" s="71">
        <f>'VaR Model'!D455</f>
        <v>8.7887095556393891E-3</v>
      </c>
      <c r="L455">
        <f>Backtesting!D455</f>
        <v>0</v>
      </c>
      <c r="M455" s="7">
        <f>Backtesting!F455</f>
        <v>0</v>
      </c>
    </row>
    <row r="456" spans="1:13" x14ac:dyDescent="0.35">
      <c r="A456" s="42">
        <f>'VaR Model'!C456</f>
        <v>45233</v>
      </c>
      <c r="B456" s="50">
        <f>'VaR Model'!D456</f>
        <v>6.1118432775060091E-3</v>
      </c>
      <c r="J456" s="42">
        <f>'VaR Model'!C456</f>
        <v>45233</v>
      </c>
      <c r="K456" s="71">
        <f>'VaR Model'!D456</f>
        <v>6.1118432775060091E-3</v>
      </c>
      <c r="L456">
        <f>Backtesting!D456</f>
        <v>0</v>
      </c>
      <c r="M456" s="7">
        <f>Backtesting!F456</f>
        <v>0</v>
      </c>
    </row>
    <row r="457" spans="1:13" x14ac:dyDescent="0.35">
      <c r="A457" s="42">
        <f>'VaR Model'!C457</f>
        <v>45236</v>
      </c>
      <c r="B457" s="50">
        <f>'VaR Model'!D457</f>
        <v>8.8907274241213675E-3</v>
      </c>
      <c r="J457" s="42">
        <f>'VaR Model'!C457</f>
        <v>45236</v>
      </c>
      <c r="K457" s="71">
        <f>'VaR Model'!D457</f>
        <v>8.8907274241213675E-3</v>
      </c>
      <c r="L457">
        <f>Backtesting!D457</f>
        <v>0</v>
      </c>
      <c r="M457" s="7">
        <f>Backtesting!F457</f>
        <v>0</v>
      </c>
    </row>
    <row r="458" spans="1:13" x14ac:dyDescent="0.35">
      <c r="A458" s="42">
        <f>'VaR Model'!C458</f>
        <v>45237</v>
      </c>
      <c r="B458" s="50">
        <f>'VaR Model'!D458</f>
        <v>-2.4053207422819098E-3</v>
      </c>
      <c r="J458" s="42">
        <f>'VaR Model'!C458</f>
        <v>45237</v>
      </c>
      <c r="K458" s="71">
        <f>'VaR Model'!D458</f>
        <v>-2.4053207422819098E-3</v>
      </c>
      <c r="L458">
        <f>Backtesting!D458</f>
        <v>0</v>
      </c>
      <c r="M458" s="7">
        <f>Backtesting!F458</f>
        <v>0</v>
      </c>
    </row>
    <row r="459" spans="1:13" x14ac:dyDescent="0.35">
      <c r="A459" s="42">
        <f>'VaR Model'!C459</f>
        <v>45238</v>
      </c>
      <c r="B459" s="50">
        <f>'VaR Model'!D459</f>
        <v>-8.7588125864048036E-4</v>
      </c>
      <c r="J459" s="42">
        <f>'VaR Model'!C459</f>
        <v>45238</v>
      </c>
      <c r="K459" s="71">
        <f>'VaR Model'!D459</f>
        <v>-8.7588125864048036E-4</v>
      </c>
      <c r="L459">
        <f>Backtesting!D459</f>
        <v>0</v>
      </c>
      <c r="M459" s="7">
        <f>Backtesting!F459</f>
        <v>0</v>
      </c>
    </row>
    <row r="460" spans="1:13" x14ac:dyDescent="0.35">
      <c r="A460" s="42">
        <f>'VaR Model'!C460</f>
        <v>45239</v>
      </c>
      <c r="B460" s="50">
        <f>'VaR Model'!D460</f>
        <v>-7.377746544474633E-3</v>
      </c>
      <c r="J460" s="42">
        <f>'VaR Model'!C460</f>
        <v>45239</v>
      </c>
      <c r="K460" s="71">
        <f>'VaR Model'!D460</f>
        <v>-7.377746544474633E-3</v>
      </c>
      <c r="L460">
        <f>Backtesting!D460</f>
        <v>0</v>
      </c>
      <c r="M460" s="7">
        <f>Backtesting!F460</f>
        <v>0</v>
      </c>
    </row>
    <row r="461" spans="1:13" x14ac:dyDescent="0.35">
      <c r="A461" s="42">
        <f>'VaR Model'!C461</f>
        <v>45240</v>
      </c>
      <c r="B461" s="50">
        <f>'VaR Model'!D461</f>
        <v>-7.846368484133075E-5</v>
      </c>
      <c r="J461" s="42">
        <f>'VaR Model'!C461</f>
        <v>45240</v>
      </c>
      <c r="K461" s="71">
        <f>'VaR Model'!D461</f>
        <v>-7.846368484133075E-5</v>
      </c>
      <c r="L461">
        <f>Backtesting!D461</f>
        <v>0</v>
      </c>
      <c r="M461" s="7">
        <f>Backtesting!F461</f>
        <v>0</v>
      </c>
    </row>
    <row r="462" spans="1:13" x14ac:dyDescent="0.35">
      <c r="A462" s="42">
        <f>'VaR Model'!C462</f>
        <v>45242</v>
      </c>
      <c r="B462" s="50">
        <f>'VaR Model'!D462</f>
        <v>2.050043524727365E-2</v>
      </c>
      <c r="J462" s="42">
        <f>'VaR Model'!C462</f>
        <v>45242</v>
      </c>
      <c r="K462" s="71">
        <f>'VaR Model'!D462</f>
        <v>2.050043524727365E-2</v>
      </c>
      <c r="L462">
        <f>Backtesting!D462</f>
        <v>0</v>
      </c>
      <c r="M462" s="7">
        <f>Backtesting!F462</f>
        <v>0</v>
      </c>
    </row>
    <row r="463" spans="1:13" x14ac:dyDescent="0.35">
      <c r="A463" s="42">
        <f>'VaR Model'!C463</f>
        <v>45243</v>
      </c>
      <c r="B463" s="50">
        <f>'VaR Model'!D463</f>
        <v>-2.1093558108314515E-2</v>
      </c>
      <c r="J463" s="42">
        <f>'VaR Model'!C463</f>
        <v>45243</v>
      </c>
      <c r="K463" s="71">
        <f>'VaR Model'!D463</f>
        <v>-2.1093558108314515E-2</v>
      </c>
      <c r="L463">
        <f>Backtesting!D463</f>
        <v>0</v>
      </c>
      <c r="M463" s="7">
        <f>Backtesting!F463</f>
        <v>1</v>
      </c>
    </row>
    <row r="464" spans="1:13" x14ac:dyDescent="0.35">
      <c r="A464" s="42">
        <f>'VaR Model'!C464</f>
        <v>45245</v>
      </c>
      <c r="B464" s="50">
        <f>'VaR Model'!D464</f>
        <v>1.7342985177588144E-2</v>
      </c>
      <c r="J464" s="42">
        <f>'VaR Model'!C464</f>
        <v>45245</v>
      </c>
      <c r="K464" s="71">
        <f>'VaR Model'!D464</f>
        <v>1.7342985177588144E-2</v>
      </c>
      <c r="L464">
        <f>Backtesting!D464</f>
        <v>0</v>
      </c>
      <c r="M464" s="7">
        <f>Backtesting!F464</f>
        <v>0</v>
      </c>
    </row>
    <row r="465" spans="1:13" x14ac:dyDescent="0.35">
      <c r="A465" s="42">
        <f>'VaR Model'!C465</f>
        <v>45246</v>
      </c>
      <c r="B465" s="50">
        <f>'VaR Model'!D465</f>
        <v>8.0164179279744053E-3</v>
      </c>
      <c r="J465" s="42">
        <f>'VaR Model'!C465</f>
        <v>45246</v>
      </c>
      <c r="K465" s="71">
        <f>'VaR Model'!D465</f>
        <v>8.0164179279744053E-3</v>
      </c>
      <c r="L465">
        <f>Backtesting!D465</f>
        <v>0</v>
      </c>
      <c r="M465" s="7">
        <f>Backtesting!F465</f>
        <v>0</v>
      </c>
    </row>
    <row r="466" spans="1:13" x14ac:dyDescent="0.35">
      <c r="A466" s="42">
        <f>'VaR Model'!C466</f>
        <v>45247</v>
      </c>
      <c r="B466" s="50">
        <f>'VaR Model'!D466</f>
        <v>-3.9652206411089248E-3</v>
      </c>
      <c r="J466" s="42">
        <f>'VaR Model'!C466</f>
        <v>45247</v>
      </c>
      <c r="K466" s="71">
        <f>'VaR Model'!D466</f>
        <v>-3.9652206411089248E-3</v>
      </c>
      <c r="L466">
        <f>Backtesting!D466</f>
        <v>0</v>
      </c>
      <c r="M466" s="7">
        <f>Backtesting!F466</f>
        <v>0</v>
      </c>
    </row>
    <row r="467" spans="1:13" x14ac:dyDescent="0.35">
      <c r="A467" s="42">
        <f>'VaR Model'!C467</f>
        <v>45250</v>
      </c>
      <c r="B467" s="50">
        <f>'VaR Model'!D467</f>
        <v>-8.8834363327096994E-4</v>
      </c>
      <c r="J467" s="42">
        <f>'VaR Model'!C467</f>
        <v>45250</v>
      </c>
      <c r="K467" s="71">
        <f>'VaR Model'!D467</f>
        <v>-8.8834363327096994E-4</v>
      </c>
      <c r="L467">
        <f>Backtesting!D467</f>
        <v>0</v>
      </c>
      <c r="M467" s="7">
        <f>Backtesting!F467</f>
        <v>0</v>
      </c>
    </row>
    <row r="468" spans="1:13" x14ac:dyDescent="0.35">
      <c r="A468" s="42">
        <f>'VaR Model'!C468</f>
        <v>45251</v>
      </c>
      <c r="B468" s="50">
        <f>'VaR Model'!D468</f>
        <v>3.0532171436468926E-3</v>
      </c>
      <c r="J468" s="42">
        <f>'VaR Model'!C468</f>
        <v>45251</v>
      </c>
      <c r="K468" s="71">
        <f>'VaR Model'!D468</f>
        <v>3.0532171436468926E-3</v>
      </c>
      <c r="L468">
        <f>Backtesting!D468</f>
        <v>0</v>
      </c>
      <c r="M468" s="7">
        <f>Backtesting!F468</f>
        <v>0</v>
      </c>
    </row>
    <row r="469" spans="1:13" x14ac:dyDescent="0.35">
      <c r="A469" s="42">
        <f>'VaR Model'!C469</f>
        <v>45252</v>
      </c>
      <c r="B469" s="50">
        <f>'VaR Model'!D469</f>
        <v>5.3581471687913981E-3</v>
      </c>
      <c r="J469" s="42">
        <f>'VaR Model'!C469</f>
        <v>45252</v>
      </c>
      <c r="K469" s="71">
        <f>'VaR Model'!D469</f>
        <v>5.3581471687913981E-3</v>
      </c>
      <c r="L469">
        <f>Backtesting!D469</f>
        <v>0</v>
      </c>
      <c r="M469" s="7">
        <f>Backtesting!F469</f>
        <v>0</v>
      </c>
    </row>
    <row r="470" spans="1:13" x14ac:dyDescent="0.35">
      <c r="A470" s="42">
        <f>'VaR Model'!C470</f>
        <v>45253</v>
      </c>
      <c r="B470" s="50">
        <f>'VaR Model'!D470</f>
        <v>-1.458357993937984E-3</v>
      </c>
      <c r="J470" s="42">
        <f>'VaR Model'!C470</f>
        <v>45253</v>
      </c>
      <c r="K470" s="71">
        <f>'VaR Model'!D470</f>
        <v>-1.458357993937984E-3</v>
      </c>
      <c r="L470">
        <f>Backtesting!D470</f>
        <v>0</v>
      </c>
      <c r="M470" s="7">
        <f>Backtesting!F470</f>
        <v>0</v>
      </c>
    </row>
    <row r="471" spans="1:13" x14ac:dyDescent="0.35">
      <c r="A471" s="42">
        <f>'VaR Model'!C471</f>
        <v>45254</v>
      </c>
      <c r="B471" s="50">
        <f>'VaR Model'!D471</f>
        <v>-4.4970191963549519E-3</v>
      </c>
      <c r="J471" s="42">
        <f>'VaR Model'!C471</f>
        <v>45254</v>
      </c>
      <c r="K471" s="71">
        <f>'VaR Model'!D471</f>
        <v>-4.4970191963549519E-3</v>
      </c>
      <c r="L471">
        <f>Backtesting!D471</f>
        <v>0</v>
      </c>
      <c r="M471" s="7">
        <f>Backtesting!F471</f>
        <v>0</v>
      </c>
    </row>
    <row r="472" spans="1:13" x14ac:dyDescent="0.35">
      <c r="A472" s="42">
        <f>'VaR Model'!C472</f>
        <v>45258</v>
      </c>
      <c r="B472" s="50">
        <f>'VaR Model'!D472</f>
        <v>-4.7684538771087105E-4</v>
      </c>
      <c r="J472" s="42">
        <f>'VaR Model'!C472</f>
        <v>45258</v>
      </c>
      <c r="K472" s="71">
        <f>'VaR Model'!D472</f>
        <v>-4.7684538771087105E-4</v>
      </c>
      <c r="L472">
        <f>Backtesting!D472</f>
        <v>0</v>
      </c>
      <c r="M472" s="7">
        <f>Backtesting!F472</f>
        <v>0</v>
      </c>
    </row>
    <row r="473" spans="1:13" x14ac:dyDescent="0.35">
      <c r="A473" s="42">
        <f>'VaR Model'!C473</f>
        <v>45259</v>
      </c>
      <c r="B473" s="50">
        <f>'VaR Model'!D473</f>
        <v>9.2727137365218853E-3</v>
      </c>
      <c r="J473" s="42">
        <f>'VaR Model'!C473</f>
        <v>45259</v>
      </c>
      <c r="K473" s="71">
        <f>'VaR Model'!D473</f>
        <v>9.2727137365218853E-3</v>
      </c>
      <c r="L473">
        <f>Backtesting!D473</f>
        <v>0</v>
      </c>
      <c r="M473" s="7">
        <f>Backtesting!F473</f>
        <v>0</v>
      </c>
    </row>
    <row r="474" spans="1:13" x14ac:dyDescent="0.35">
      <c r="A474" s="42">
        <f>'VaR Model'!C474</f>
        <v>45260</v>
      </c>
      <c r="B474" s="50">
        <f>'VaR Model'!D474</f>
        <v>-5.6890379453986908E-3</v>
      </c>
      <c r="J474" s="42">
        <f>'VaR Model'!C474</f>
        <v>45260</v>
      </c>
      <c r="K474" s="71">
        <f>'VaR Model'!D474</f>
        <v>-5.6890379453986908E-3</v>
      </c>
      <c r="L474">
        <f>Backtesting!D474</f>
        <v>0</v>
      </c>
      <c r="M474" s="7">
        <f>Backtesting!F474</f>
        <v>0</v>
      </c>
    </row>
    <row r="475" spans="1:13" x14ac:dyDescent="0.35">
      <c r="A475" s="42">
        <f>'VaR Model'!C475</f>
        <v>45261</v>
      </c>
      <c r="B475" s="50">
        <f>'VaR Model'!D475</f>
        <v>1.1220815402232583E-2</v>
      </c>
      <c r="J475" s="42">
        <f>'VaR Model'!C475</f>
        <v>45261</v>
      </c>
      <c r="K475" s="71">
        <f>'VaR Model'!D475</f>
        <v>1.1220815402232583E-2</v>
      </c>
      <c r="L475">
        <f>Backtesting!D475</f>
        <v>0</v>
      </c>
      <c r="M475" s="7">
        <f>Backtesting!F475</f>
        <v>0</v>
      </c>
    </row>
    <row r="476" spans="1:13" x14ac:dyDescent="0.35">
      <c r="A476" s="42">
        <f>'VaR Model'!C476</f>
        <v>45264</v>
      </c>
      <c r="B476" s="50">
        <f>'VaR Model'!D476</f>
        <v>1.491727366188584E-2</v>
      </c>
      <c r="J476" s="42">
        <f>'VaR Model'!C476</f>
        <v>45264</v>
      </c>
      <c r="K476" s="71">
        <f>'VaR Model'!D476</f>
        <v>1.491727366188584E-2</v>
      </c>
      <c r="L476">
        <f>Backtesting!D476</f>
        <v>0</v>
      </c>
      <c r="M476" s="7">
        <f>Backtesting!F476</f>
        <v>0</v>
      </c>
    </row>
    <row r="477" spans="1:13" x14ac:dyDescent="0.35">
      <c r="A477" s="42">
        <f>'VaR Model'!C477</f>
        <v>45265</v>
      </c>
      <c r="B477" s="50">
        <f>'VaR Model'!D477</f>
        <v>4.5302072926135329E-3</v>
      </c>
      <c r="J477" s="42">
        <f>'VaR Model'!C477</f>
        <v>45265</v>
      </c>
      <c r="K477" s="71">
        <f>'VaR Model'!D477</f>
        <v>4.5302072926135329E-3</v>
      </c>
      <c r="L477">
        <f>Backtesting!D477</f>
        <v>0</v>
      </c>
      <c r="M477" s="7">
        <f>Backtesting!F477</f>
        <v>0</v>
      </c>
    </row>
    <row r="478" spans="1:13" x14ac:dyDescent="0.35">
      <c r="A478" s="42">
        <f>'VaR Model'!C478</f>
        <v>45266</v>
      </c>
      <c r="B478" s="50">
        <f>'VaR Model'!D478</f>
        <v>1.1755506436964297E-2</v>
      </c>
      <c r="J478" s="42">
        <f>'VaR Model'!C478</f>
        <v>45266</v>
      </c>
      <c r="K478" s="71">
        <f>'VaR Model'!D478</f>
        <v>1.1755506436964297E-2</v>
      </c>
      <c r="L478">
        <f>Backtesting!D478</f>
        <v>0</v>
      </c>
      <c r="M478" s="7">
        <f>Backtesting!F478</f>
        <v>0</v>
      </c>
    </row>
    <row r="479" spans="1:13" x14ac:dyDescent="0.35">
      <c r="A479" s="42">
        <f>'VaR Model'!C479</f>
        <v>45267</v>
      </c>
      <c r="B479" s="50">
        <f>'VaR Model'!D479</f>
        <v>-3.9565612345553803E-3</v>
      </c>
      <c r="J479" s="42">
        <f>'VaR Model'!C479</f>
        <v>45267</v>
      </c>
      <c r="K479" s="71">
        <f>'VaR Model'!D479</f>
        <v>-3.9565612345553803E-3</v>
      </c>
      <c r="L479">
        <f>Backtesting!D479</f>
        <v>0</v>
      </c>
      <c r="M479" s="7">
        <f>Backtesting!F479</f>
        <v>0</v>
      </c>
    </row>
    <row r="480" spans="1:13" x14ac:dyDescent="0.35">
      <c r="A480" s="42">
        <f>'VaR Model'!C480</f>
        <v>45268</v>
      </c>
      <c r="B480" s="50">
        <f>'VaR Model'!D480</f>
        <v>2.3709351631995522E-3</v>
      </c>
      <c r="J480" s="42">
        <f>'VaR Model'!C480</f>
        <v>45268</v>
      </c>
      <c r="K480" s="71">
        <f>'VaR Model'!D480</f>
        <v>2.3709351631995522E-3</v>
      </c>
      <c r="L480">
        <f>Backtesting!D480</f>
        <v>0</v>
      </c>
      <c r="M480" s="7">
        <f>Backtesting!F480</f>
        <v>0</v>
      </c>
    </row>
    <row r="481" spans="1:13" x14ac:dyDescent="0.35">
      <c r="A481" s="42">
        <f>'VaR Model'!C481</f>
        <v>45271</v>
      </c>
      <c r="B481" s="50">
        <f>'VaR Model'!D481</f>
        <v>3.5255588048167265E-3</v>
      </c>
      <c r="J481" s="42">
        <f>'VaR Model'!C481</f>
        <v>45271</v>
      </c>
      <c r="K481" s="71">
        <f>'VaR Model'!D481</f>
        <v>3.5255588048167265E-3</v>
      </c>
      <c r="L481">
        <f>Backtesting!D481</f>
        <v>0</v>
      </c>
      <c r="M481" s="7">
        <f>Backtesting!F481</f>
        <v>0</v>
      </c>
    </row>
    <row r="482" spans="1:13" x14ac:dyDescent="0.35">
      <c r="A482" s="42">
        <f>'VaR Model'!C482</f>
        <v>45272</v>
      </c>
      <c r="B482" s="50">
        <f>'VaR Model'!D482</f>
        <v>-2.9608437935464988E-3</v>
      </c>
      <c r="J482" s="42">
        <f>'VaR Model'!C482</f>
        <v>45272</v>
      </c>
      <c r="K482" s="71">
        <f>'VaR Model'!D482</f>
        <v>-2.9608437935464988E-3</v>
      </c>
      <c r="L482">
        <f>Backtesting!D482</f>
        <v>0</v>
      </c>
      <c r="M482" s="7">
        <f>Backtesting!F482</f>
        <v>0</v>
      </c>
    </row>
    <row r="483" spans="1:13" x14ac:dyDescent="0.35">
      <c r="A483" s="42">
        <f>'VaR Model'!C483</f>
        <v>45273</v>
      </c>
      <c r="B483" s="50">
        <f>'VaR Model'!D483</f>
        <v>-6.4435110173771707E-3</v>
      </c>
      <c r="J483" s="42">
        <f>'VaR Model'!C483</f>
        <v>45273</v>
      </c>
      <c r="K483" s="71">
        <f>'VaR Model'!D483</f>
        <v>-6.4435110173771707E-3</v>
      </c>
      <c r="L483">
        <f>Backtesting!D483</f>
        <v>0</v>
      </c>
      <c r="M483" s="7">
        <f>Backtesting!F483</f>
        <v>0</v>
      </c>
    </row>
    <row r="484" spans="1:13" x14ac:dyDescent="0.35">
      <c r="A484" s="42">
        <f>'VaR Model'!C484</f>
        <v>45274</v>
      </c>
      <c r="B484" s="50">
        <f>'VaR Model'!D484</f>
        <v>1.9440928620878591E-2</v>
      </c>
      <c r="J484" s="42">
        <f>'VaR Model'!C484</f>
        <v>45274</v>
      </c>
      <c r="K484" s="71">
        <f>'VaR Model'!D484</f>
        <v>1.9440928620878591E-2</v>
      </c>
      <c r="L484">
        <f>Backtesting!D484</f>
        <v>0</v>
      </c>
      <c r="M484" s="7">
        <f>Backtesting!F484</f>
        <v>0</v>
      </c>
    </row>
    <row r="485" spans="1:13" x14ac:dyDescent="0.35">
      <c r="A485" s="42">
        <f>'VaR Model'!C485</f>
        <v>45275</v>
      </c>
      <c r="B485" s="50">
        <f>'VaR Model'!D485</f>
        <v>2.2725418581646988E-2</v>
      </c>
      <c r="J485" s="42">
        <f>'VaR Model'!C485</f>
        <v>45275</v>
      </c>
      <c r="K485" s="71">
        <f>'VaR Model'!D485</f>
        <v>2.2725418581646988E-2</v>
      </c>
      <c r="L485">
        <f>Backtesting!D485</f>
        <v>0</v>
      </c>
      <c r="M485" s="7">
        <f>Backtesting!F485</f>
        <v>0</v>
      </c>
    </row>
    <row r="486" spans="1:13" x14ac:dyDescent="0.35">
      <c r="A486" s="42">
        <f>'VaR Model'!C486</f>
        <v>45278</v>
      </c>
      <c r="B486" s="50">
        <f>'VaR Model'!D486</f>
        <v>-5.8328087336530741E-3</v>
      </c>
      <c r="J486" s="42">
        <f>'VaR Model'!C486</f>
        <v>45278</v>
      </c>
      <c r="K486" s="71">
        <f>'VaR Model'!D486</f>
        <v>-5.8328087336530741E-3</v>
      </c>
      <c r="L486">
        <f>Backtesting!D486</f>
        <v>0</v>
      </c>
      <c r="M486" s="7">
        <f>Backtesting!F486</f>
        <v>0</v>
      </c>
    </row>
    <row r="487" spans="1:13" x14ac:dyDescent="0.35">
      <c r="A487" s="42">
        <f>'VaR Model'!C487</f>
        <v>45279</v>
      </c>
      <c r="B487" s="50">
        <f>'VaR Model'!D487</f>
        <v>6.8951066694830903E-4</v>
      </c>
      <c r="J487" s="42">
        <f>'VaR Model'!C487</f>
        <v>45279</v>
      </c>
      <c r="K487" s="71">
        <f>'VaR Model'!D487</f>
        <v>6.8951066694830903E-4</v>
      </c>
      <c r="L487">
        <f>Backtesting!D487</f>
        <v>0</v>
      </c>
      <c r="M487" s="7">
        <f>Backtesting!F487</f>
        <v>0</v>
      </c>
    </row>
    <row r="488" spans="1:13" x14ac:dyDescent="0.35">
      <c r="A488" s="42">
        <f>'VaR Model'!C488</f>
        <v>45280</v>
      </c>
      <c r="B488" s="50">
        <f>'VaR Model'!D488</f>
        <v>-1.1161976003571609E-2</v>
      </c>
      <c r="J488" s="42">
        <f>'VaR Model'!C488</f>
        <v>45280</v>
      </c>
      <c r="K488" s="71">
        <f>'VaR Model'!D488</f>
        <v>-1.1161976003571609E-2</v>
      </c>
      <c r="L488">
        <f>Backtesting!D488</f>
        <v>0</v>
      </c>
      <c r="M488" s="7">
        <f>Backtesting!F488</f>
        <v>0</v>
      </c>
    </row>
    <row r="489" spans="1:13" x14ac:dyDescent="0.35">
      <c r="A489" s="42">
        <f>'VaR Model'!C489</f>
        <v>45281</v>
      </c>
      <c r="B489" s="50">
        <f>'VaR Model'!D489</f>
        <v>2.8787643992738E-3</v>
      </c>
      <c r="J489" s="42">
        <f>'VaR Model'!C489</f>
        <v>45281</v>
      </c>
      <c r="K489" s="71">
        <f>'VaR Model'!D489</f>
        <v>2.8787643992738E-3</v>
      </c>
      <c r="L489">
        <f>Backtesting!D489</f>
        <v>0</v>
      </c>
      <c r="M489" s="7">
        <f>Backtesting!F489</f>
        <v>0</v>
      </c>
    </row>
    <row r="490" spans="1:13" x14ac:dyDescent="0.35">
      <c r="A490" s="42">
        <f>'VaR Model'!C490</f>
        <v>45282</v>
      </c>
      <c r="B490" s="50">
        <f>'VaR Model'!D490</f>
        <v>5.2197387935411666E-3</v>
      </c>
      <c r="J490" s="42">
        <f>'VaR Model'!C490</f>
        <v>45282</v>
      </c>
      <c r="K490" s="71">
        <f>'VaR Model'!D490</f>
        <v>5.2197387935411666E-3</v>
      </c>
      <c r="L490">
        <f>Backtesting!D490</f>
        <v>0</v>
      </c>
      <c r="M490" s="7">
        <f>Backtesting!F490</f>
        <v>0</v>
      </c>
    </row>
    <row r="491" spans="1:13" x14ac:dyDescent="0.35">
      <c r="A491" s="42">
        <f>'VaR Model'!C491</f>
        <v>45286</v>
      </c>
      <c r="B491" s="50">
        <f>'VaR Model'!D491</f>
        <v>-2.2137074054270657E-3</v>
      </c>
      <c r="J491" s="42">
        <f>'VaR Model'!C491</f>
        <v>45286</v>
      </c>
      <c r="K491" s="71">
        <f>'VaR Model'!D491</f>
        <v>-2.2137074054270657E-3</v>
      </c>
      <c r="L491">
        <f>Backtesting!D491</f>
        <v>0</v>
      </c>
      <c r="M491" s="7">
        <f>Backtesting!F491</f>
        <v>0</v>
      </c>
    </row>
    <row r="492" spans="1:13" x14ac:dyDescent="0.35">
      <c r="A492" s="42">
        <f>'VaR Model'!C492</f>
        <v>45287</v>
      </c>
      <c r="B492" s="50">
        <f>'VaR Model'!D492</f>
        <v>6.1953306407177729E-3</v>
      </c>
      <c r="J492" s="42">
        <f>'VaR Model'!C492</f>
        <v>45287</v>
      </c>
      <c r="K492" s="71">
        <f>'VaR Model'!D492</f>
        <v>6.1953306407177729E-3</v>
      </c>
      <c r="L492">
        <f>Backtesting!D492</f>
        <v>0</v>
      </c>
      <c r="M492" s="7">
        <f>Backtesting!F492</f>
        <v>0</v>
      </c>
    </row>
    <row r="493" spans="1:13" x14ac:dyDescent="0.35">
      <c r="A493" s="42">
        <f>'VaR Model'!C493</f>
        <v>45288</v>
      </c>
      <c r="B493" s="50">
        <f>'VaR Model'!D493</f>
        <v>4.0479743654484313E-3</v>
      </c>
      <c r="J493" s="42">
        <f>'VaR Model'!C493</f>
        <v>45288</v>
      </c>
      <c r="K493" s="71">
        <f>'VaR Model'!D493</f>
        <v>4.0479743654484313E-3</v>
      </c>
      <c r="L493">
        <f>Backtesting!D493</f>
        <v>0</v>
      </c>
      <c r="M493" s="7">
        <f>Backtesting!F493</f>
        <v>0</v>
      </c>
    </row>
    <row r="494" spans="1:13" x14ac:dyDescent="0.35">
      <c r="A494" s="42">
        <f>'VaR Model'!C494</f>
        <v>45289</v>
      </c>
      <c r="B494" s="50">
        <f>'VaR Model'!D494</f>
        <v>-7.2005057761350758E-3</v>
      </c>
      <c r="J494" s="42">
        <f>'VaR Model'!C494</f>
        <v>45289</v>
      </c>
      <c r="K494" s="71">
        <f>'VaR Model'!D494</f>
        <v>-7.2005057761350758E-3</v>
      </c>
      <c r="L494">
        <f>Backtesting!D494</f>
        <v>0</v>
      </c>
      <c r="M494" s="7">
        <f>Backtesting!F494</f>
        <v>0</v>
      </c>
    </row>
    <row r="495" spans="1:13" x14ac:dyDescent="0.35">
      <c r="A495" s="42">
        <f>'VaR Model'!C495</f>
        <v>45292</v>
      </c>
      <c r="B495" s="50">
        <f>'VaR Model'!D495</f>
        <v>5.5555383193305651E-3</v>
      </c>
      <c r="J495" s="42">
        <f>'VaR Model'!C495</f>
        <v>45292</v>
      </c>
      <c r="K495" s="71">
        <f>'VaR Model'!D495</f>
        <v>5.5555383193305651E-3</v>
      </c>
      <c r="L495">
        <f>Backtesting!D495</f>
        <v>0</v>
      </c>
      <c r="M495" s="7">
        <f>Backtesting!F495</f>
        <v>0</v>
      </c>
    </row>
    <row r="496" spans="1:13" x14ac:dyDescent="0.35">
      <c r="A496" s="42">
        <f>'VaR Model'!C496</f>
        <v>45293</v>
      </c>
      <c r="B496" s="50">
        <f>'VaR Model'!D496</f>
        <v>-4.4982857942739022E-3</v>
      </c>
      <c r="J496" s="42">
        <f>'VaR Model'!C496</f>
        <v>45293</v>
      </c>
      <c r="K496" s="71">
        <f>'VaR Model'!D496</f>
        <v>-4.4982857942739022E-3</v>
      </c>
      <c r="L496">
        <f>Backtesting!D496</f>
        <v>0</v>
      </c>
      <c r="M496" s="7">
        <f>Backtesting!F496</f>
        <v>0</v>
      </c>
    </row>
    <row r="497" spans="1:13" x14ac:dyDescent="0.35">
      <c r="A497" s="42">
        <f>'VaR Model'!C497</f>
        <v>45294</v>
      </c>
      <c r="B497" s="50">
        <f>'VaR Model'!D497</f>
        <v>-9.6777600655586372E-3</v>
      </c>
      <c r="J497" s="42">
        <f>'VaR Model'!C497</f>
        <v>45294</v>
      </c>
      <c r="K497" s="71">
        <f>'VaR Model'!D497</f>
        <v>-9.6777600655586372E-3</v>
      </c>
      <c r="L497">
        <f>Backtesting!D497</f>
        <v>0</v>
      </c>
      <c r="M497" s="7">
        <f>Backtesting!F497</f>
        <v>0</v>
      </c>
    </row>
    <row r="498" spans="1:13" x14ac:dyDescent="0.35">
      <c r="A498" s="42">
        <f>'VaR Model'!C498</f>
        <v>45295</v>
      </c>
      <c r="B498" s="50">
        <f>'VaR Model'!D498</f>
        <v>2.9721347720249253E-3</v>
      </c>
      <c r="J498" s="42">
        <f>'VaR Model'!C498</f>
        <v>45295</v>
      </c>
      <c r="K498" s="71">
        <f>'VaR Model'!D498</f>
        <v>2.9721347720249253E-3</v>
      </c>
      <c r="L498">
        <f>Backtesting!D498</f>
        <v>0</v>
      </c>
      <c r="M498" s="7">
        <f>Backtesting!F498</f>
        <v>0</v>
      </c>
    </row>
    <row r="499" spans="1:13" x14ac:dyDescent="0.35">
      <c r="A499" s="42">
        <f>'VaR Model'!C499</f>
        <v>45296</v>
      </c>
      <c r="B499" s="50">
        <f>'VaR Model'!D499</f>
        <v>7.5888680470796834E-3</v>
      </c>
      <c r="J499" s="42">
        <f>'VaR Model'!C499</f>
        <v>45296</v>
      </c>
      <c r="K499" s="71">
        <f>'VaR Model'!D499</f>
        <v>7.5888680470796834E-3</v>
      </c>
      <c r="L499">
        <f>Backtesting!D499</f>
        <v>0</v>
      </c>
      <c r="M499" s="7">
        <f>Backtesting!F499</f>
        <v>0</v>
      </c>
    </row>
    <row r="500" spans="1:13" x14ac:dyDescent="0.35">
      <c r="A500" s="42">
        <f>'VaR Model'!C500</f>
        <v>45299</v>
      </c>
      <c r="B500" s="50">
        <f>'VaR Model'!D500</f>
        <v>-1.202128063024673E-2</v>
      </c>
      <c r="J500" s="42">
        <f>'VaR Model'!C500</f>
        <v>45299</v>
      </c>
      <c r="K500" s="71">
        <f>'VaR Model'!D500</f>
        <v>-1.202128063024673E-2</v>
      </c>
      <c r="L500">
        <f>Backtesting!D500</f>
        <v>0</v>
      </c>
      <c r="M500" s="7">
        <f>Backtesting!F500</f>
        <v>0</v>
      </c>
    </row>
    <row r="501" spans="1:13" x14ac:dyDescent="0.35">
      <c r="A501" s="42">
        <f>'VaR Model'!C501</f>
        <v>45300</v>
      </c>
      <c r="B501" s="50">
        <f>'VaR Model'!D501</f>
        <v>8.1866433915925806E-5</v>
      </c>
      <c r="J501" s="42">
        <f>'VaR Model'!C501</f>
        <v>45300</v>
      </c>
      <c r="K501" s="71">
        <f>'VaR Model'!D501</f>
        <v>8.1866433915925806E-5</v>
      </c>
      <c r="L501">
        <f>Backtesting!D501</f>
        <v>0</v>
      </c>
      <c r="M501" s="7">
        <f>Backtesting!F501</f>
        <v>0</v>
      </c>
    </row>
    <row r="502" spans="1:13" x14ac:dyDescent="0.35">
      <c r="A502" s="42">
        <f>'VaR Model'!C502</f>
        <v>45301</v>
      </c>
      <c r="B502" s="50">
        <f>'VaR Model'!D502</f>
        <v>7.4995775589305888E-3</v>
      </c>
      <c r="J502" s="42">
        <f>'VaR Model'!C502</f>
        <v>45301</v>
      </c>
      <c r="K502" s="71">
        <f>'VaR Model'!D502</f>
        <v>7.4995775589305888E-3</v>
      </c>
      <c r="L502">
        <f>Backtesting!D502</f>
        <v>0</v>
      </c>
      <c r="M502" s="7">
        <f>Backtesting!F502</f>
        <v>0</v>
      </c>
    </row>
    <row r="503" spans="1:13" x14ac:dyDescent="0.35">
      <c r="A503" s="42">
        <f>'VaR Model'!C503</f>
        <v>45302</v>
      </c>
      <c r="B503" s="50">
        <f>'VaR Model'!D503</f>
        <v>2.3240780098786372E-3</v>
      </c>
      <c r="J503" s="42">
        <f>'VaR Model'!C503</f>
        <v>45302</v>
      </c>
      <c r="K503" s="71">
        <f>'VaR Model'!D503</f>
        <v>2.3240780098786372E-3</v>
      </c>
      <c r="L503">
        <f>Backtesting!D503</f>
        <v>0</v>
      </c>
      <c r="M503" s="7">
        <f>Backtesting!F503</f>
        <v>0</v>
      </c>
    </row>
    <row r="504" spans="1:13" x14ac:dyDescent="0.35">
      <c r="A504" s="42">
        <f>'VaR Model'!C504</f>
        <v>45303</v>
      </c>
      <c r="B504" s="50">
        <f>'VaR Model'!D504</f>
        <v>2.8805701425796096E-2</v>
      </c>
      <c r="J504" s="42">
        <f>'VaR Model'!C504</f>
        <v>45303</v>
      </c>
      <c r="K504" s="71">
        <f>'VaR Model'!D504</f>
        <v>2.8805701425796096E-2</v>
      </c>
      <c r="L504">
        <f>Backtesting!D504</f>
        <v>0</v>
      </c>
      <c r="M504" s="7">
        <f>Backtesting!F504</f>
        <v>0</v>
      </c>
    </row>
    <row r="505" spans="1:13" x14ac:dyDescent="0.35">
      <c r="A505" s="42">
        <f>'VaR Model'!C505</f>
        <v>45306</v>
      </c>
      <c r="B505" s="50">
        <f>'VaR Model'!D505</f>
        <v>1.0938151914385985E-2</v>
      </c>
      <c r="J505" s="42">
        <f>'VaR Model'!C505</f>
        <v>45306</v>
      </c>
      <c r="K505" s="71">
        <f>'VaR Model'!D505</f>
        <v>1.0938151914385985E-2</v>
      </c>
      <c r="L505">
        <f>Backtesting!D505</f>
        <v>0</v>
      </c>
      <c r="M505" s="7">
        <f>Backtesting!F505</f>
        <v>0</v>
      </c>
    </row>
    <row r="506" spans="1:13" x14ac:dyDescent="0.35">
      <c r="A506" s="42">
        <f>'VaR Model'!C506</f>
        <v>45307</v>
      </c>
      <c r="B506" s="50">
        <f>'VaR Model'!D506</f>
        <v>-5.6706525650750458E-3</v>
      </c>
      <c r="J506" s="42">
        <f>'VaR Model'!C506</f>
        <v>45307</v>
      </c>
      <c r="K506" s="71">
        <f>'VaR Model'!D506</f>
        <v>-5.6706525650750458E-3</v>
      </c>
      <c r="L506">
        <f>Backtesting!D506</f>
        <v>0</v>
      </c>
      <c r="M506" s="7">
        <f>Backtesting!F506</f>
        <v>0</v>
      </c>
    </row>
    <row r="507" spans="1:13" x14ac:dyDescent="0.35">
      <c r="A507" s="42">
        <f>'VaR Model'!C507</f>
        <v>45308</v>
      </c>
      <c r="B507" s="50">
        <f>'VaR Model'!D507</f>
        <v>-7.5617499998006689E-3</v>
      </c>
      <c r="J507" s="42">
        <f>'VaR Model'!C507</f>
        <v>45308</v>
      </c>
      <c r="K507" s="71">
        <f>'VaR Model'!D507</f>
        <v>-7.5617499998006689E-3</v>
      </c>
      <c r="L507">
        <f>Backtesting!D507</f>
        <v>0</v>
      </c>
      <c r="M507" s="7">
        <f>Backtesting!F507</f>
        <v>0</v>
      </c>
    </row>
    <row r="508" spans="1:13" x14ac:dyDescent="0.35">
      <c r="A508" s="42">
        <f>'VaR Model'!C508</f>
        <v>45309</v>
      </c>
      <c r="B508" s="50">
        <f>'VaR Model'!D508</f>
        <v>2.6157125127725138E-3</v>
      </c>
      <c r="J508" s="42">
        <f>'VaR Model'!C508</f>
        <v>45309</v>
      </c>
      <c r="K508" s="71">
        <f>'VaR Model'!D508</f>
        <v>2.6157125127725138E-3</v>
      </c>
      <c r="L508">
        <f>Backtesting!D508</f>
        <v>0</v>
      </c>
      <c r="M508" s="7">
        <f>Backtesting!F508</f>
        <v>0</v>
      </c>
    </row>
    <row r="509" spans="1:13" x14ac:dyDescent="0.35">
      <c r="A509" s="42">
        <f>'VaR Model'!C509</f>
        <v>45310</v>
      </c>
      <c r="B509" s="50">
        <f>'VaR Model'!D509</f>
        <v>1.0075871253176128E-2</v>
      </c>
      <c r="J509" s="42">
        <f>'VaR Model'!C509</f>
        <v>45310</v>
      </c>
      <c r="K509" s="71">
        <f>'VaR Model'!D509</f>
        <v>1.0075871253176128E-2</v>
      </c>
      <c r="L509">
        <f>Backtesting!D509</f>
        <v>0</v>
      </c>
      <c r="M509" s="7">
        <f>Backtesting!F509</f>
        <v>0</v>
      </c>
    </row>
    <row r="510" spans="1:13" x14ac:dyDescent="0.35">
      <c r="A510" s="42">
        <f>'VaR Model'!C510</f>
        <v>45311</v>
      </c>
      <c r="B510" s="50">
        <f>'VaR Model'!D510</f>
        <v>5.7338857017928124E-3</v>
      </c>
      <c r="J510" s="42">
        <f>'VaR Model'!C510</f>
        <v>45311</v>
      </c>
      <c r="K510" s="71">
        <f>'VaR Model'!D510</f>
        <v>5.7338857017928124E-3</v>
      </c>
      <c r="L510">
        <f>Backtesting!D510</f>
        <v>0</v>
      </c>
      <c r="M510" s="7">
        <f>Backtesting!F510</f>
        <v>0</v>
      </c>
    </row>
    <row r="511" spans="1:13" x14ac:dyDescent="0.35">
      <c r="A511" s="42">
        <f>'VaR Model'!C511</f>
        <v>45314</v>
      </c>
      <c r="B511" s="50">
        <f>'VaR Model'!D511</f>
        <v>-1.7275998780296734E-2</v>
      </c>
      <c r="J511" s="42">
        <f>'VaR Model'!C511</f>
        <v>45314</v>
      </c>
      <c r="K511" s="71">
        <f>'VaR Model'!D511</f>
        <v>-1.7275998780296734E-2</v>
      </c>
      <c r="L511">
        <f>Backtesting!D511</f>
        <v>0</v>
      </c>
      <c r="M511" s="7">
        <f>Backtesting!F511</f>
        <v>1</v>
      </c>
    </row>
    <row r="512" spans="1:13" x14ac:dyDescent="0.35">
      <c r="A512" s="42">
        <f>'VaR Model'!C512</f>
        <v>45315</v>
      </c>
      <c r="B512" s="50">
        <f>'VaR Model'!D512</f>
        <v>1.4231088837031274E-3</v>
      </c>
      <c r="J512" s="42">
        <f>'VaR Model'!C512</f>
        <v>45315</v>
      </c>
      <c r="K512" s="71">
        <f>'VaR Model'!D512</f>
        <v>1.4231088837031274E-3</v>
      </c>
      <c r="L512">
        <f>Backtesting!D512</f>
        <v>0</v>
      </c>
      <c r="M512" s="7">
        <f>Backtesting!F512</f>
        <v>0</v>
      </c>
    </row>
    <row r="513" spans="1:13" x14ac:dyDescent="0.35">
      <c r="A513" s="42">
        <f>'VaR Model'!C513</f>
        <v>45316</v>
      </c>
      <c r="B513" s="50">
        <f>'VaR Model'!D513</f>
        <v>-2.3553404883355014E-3</v>
      </c>
      <c r="J513" s="42">
        <f>'VaR Model'!C513</f>
        <v>45316</v>
      </c>
      <c r="K513" s="71">
        <f>'VaR Model'!D513</f>
        <v>-2.3553404883355014E-3</v>
      </c>
      <c r="L513">
        <f>Backtesting!D513</f>
        <v>0</v>
      </c>
      <c r="M513" s="7">
        <f>Backtesting!F513</f>
        <v>0</v>
      </c>
    </row>
    <row r="514" spans="1:13" x14ac:dyDescent="0.35">
      <c r="A514" s="42">
        <f>'VaR Model'!C514</f>
        <v>45320</v>
      </c>
      <c r="B514" s="50">
        <f>'VaR Model'!D514</f>
        <v>1.0266948951533033E-2</v>
      </c>
      <c r="J514" s="42">
        <f>'VaR Model'!C514</f>
        <v>45320</v>
      </c>
      <c r="K514" s="71">
        <f>'VaR Model'!D514</f>
        <v>1.0266948951533033E-2</v>
      </c>
      <c r="L514">
        <f>Backtesting!D514</f>
        <v>0</v>
      </c>
      <c r="M514" s="7">
        <f>Backtesting!F514</f>
        <v>0</v>
      </c>
    </row>
    <row r="515" spans="1:13" x14ac:dyDescent="0.35">
      <c r="A515" s="42">
        <f>'VaR Model'!C515</f>
        <v>45321</v>
      </c>
      <c r="B515" s="50">
        <f>'VaR Model'!D515</f>
        <v>-1.15072475562796E-2</v>
      </c>
      <c r="J515" s="42">
        <f>'VaR Model'!C515</f>
        <v>45321</v>
      </c>
      <c r="K515" s="71">
        <f>'VaR Model'!D515</f>
        <v>-1.15072475562796E-2</v>
      </c>
      <c r="L515">
        <f>Backtesting!D515</f>
        <v>0</v>
      </c>
      <c r="M515" s="7">
        <f>Backtesting!F515</f>
        <v>0</v>
      </c>
    </row>
    <row r="516" spans="1:13" x14ac:dyDescent="0.35">
      <c r="A516" s="42">
        <f>'VaR Model'!C516</f>
        <v>45322</v>
      </c>
      <c r="B516" s="50">
        <f>'VaR Model'!D516</f>
        <v>8.4234378974478285E-3</v>
      </c>
      <c r="J516" s="42">
        <f>'VaR Model'!C516</f>
        <v>45322</v>
      </c>
      <c r="K516" s="71">
        <f>'VaR Model'!D516</f>
        <v>8.4234378974478285E-3</v>
      </c>
      <c r="L516">
        <f>Backtesting!D516</f>
        <v>0</v>
      </c>
      <c r="M516" s="7">
        <f>Backtesting!F516</f>
        <v>0</v>
      </c>
    </row>
    <row r="517" spans="1:13" x14ac:dyDescent="0.35">
      <c r="A517" s="42">
        <f>'VaR Model'!C517</f>
        <v>45323</v>
      </c>
      <c r="B517" s="50">
        <f>'VaR Model'!D517</f>
        <v>1.5581403119165854E-3</v>
      </c>
      <c r="J517" s="42">
        <f>'VaR Model'!C517</f>
        <v>45323</v>
      </c>
      <c r="K517" s="71">
        <f>'VaR Model'!D517</f>
        <v>1.5581403119165854E-3</v>
      </c>
      <c r="L517">
        <f>Backtesting!D517</f>
        <v>0</v>
      </c>
      <c r="M517" s="7">
        <f>Backtesting!F517</f>
        <v>0</v>
      </c>
    </row>
    <row r="518" spans="1:13" x14ac:dyDescent="0.35">
      <c r="A518" s="42">
        <f>'VaR Model'!C518</f>
        <v>45324</v>
      </c>
      <c r="B518" s="50">
        <f>'VaR Model'!D518</f>
        <v>1.2883748825588194E-2</v>
      </c>
      <c r="J518" s="42">
        <f>'VaR Model'!C518</f>
        <v>45324</v>
      </c>
      <c r="K518" s="71">
        <f>'VaR Model'!D518</f>
        <v>1.2883748825588194E-2</v>
      </c>
      <c r="L518">
        <f>Backtesting!D518</f>
        <v>0</v>
      </c>
      <c r="M518" s="7">
        <f>Backtesting!F518</f>
        <v>0</v>
      </c>
    </row>
    <row r="519" spans="1:13" x14ac:dyDescent="0.35">
      <c r="A519" s="42">
        <f>'VaR Model'!C519</f>
        <v>45327</v>
      </c>
      <c r="B519" s="50">
        <f>'VaR Model'!D519</f>
        <v>-3.9854666237102059E-3</v>
      </c>
      <c r="J519" s="42">
        <f>'VaR Model'!C519</f>
        <v>45327</v>
      </c>
      <c r="K519" s="71">
        <f>'VaR Model'!D519</f>
        <v>-3.9854666237102059E-3</v>
      </c>
      <c r="L519">
        <f>Backtesting!D519</f>
        <v>0</v>
      </c>
      <c r="M519" s="7">
        <f>Backtesting!F519</f>
        <v>0</v>
      </c>
    </row>
    <row r="520" spans="1:13" x14ac:dyDescent="0.35">
      <c r="A520" s="42">
        <f>'VaR Model'!C520</f>
        <v>45328</v>
      </c>
      <c r="B520" s="50">
        <f>'VaR Model'!D520</f>
        <v>8.9138471633231006E-3</v>
      </c>
      <c r="J520" s="42">
        <f>'VaR Model'!C520</f>
        <v>45328</v>
      </c>
      <c r="K520" s="71">
        <f>'VaR Model'!D520</f>
        <v>8.9138471633231006E-3</v>
      </c>
      <c r="L520">
        <f>Backtesting!D520</f>
        <v>0</v>
      </c>
      <c r="M520" s="7">
        <f>Backtesting!F520</f>
        <v>0</v>
      </c>
    </row>
    <row r="521" spans="1:13" x14ac:dyDescent="0.35">
      <c r="A521" s="42">
        <f>'VaR Model'!C521</f>
        <v>45329</v>
      </c>
      <c r="B521" s="50">
        <f>'VaR Model'!D521</f>
        <v>-5.3751893831684699E-3</v>
      </c>
      <c r="J521" s="42">
        <f>'VaR Model'!C521</f>
        <v>45329</v>
      </c>
      <c r="K521" s="71">
        <f>'VaR Model'!D521</f>
        <v>-5.3751893831684699E-3</v>
      </c>
      <c r="L521">
        <f>Backtesting!D521</f>
        <v>0</v>
      </c>
      <c r="M521" s="7">
        <f>Backtesting!F521</f>
        <v>0</v>
      </c>
    </row>
    <row r="522" spans="1:13" x14ac:dyDescent="0.35">
      <c r="A522" s="42">
        <f>'VaR Model'!C522</f>
        <v>45330</v>
      </c>
      <c r="B522" s="50">
        <f>'VaR Model'!D522</f>
        <v>-1.131085831664418E-2</v>
      </c>
      <c r="J522" s="42">
        <f>'VaR Model'!C522</f>
        <v>45330</v>
      </c>
      <c r="K522" s="71">
        <f>'VaR Model'!D522</f>
        <v>-1.131085831664418E-2</v>
      </c>
      <c r="L522">
        <f>Backtesting!D522</f>
        <v>0</v>
      </c>
      <c r="M522" s="7">
        <f>Backtesting!F522</f>
        <v>0</v>
      </c>
    </row>
    <row r="523" spans="1:13" x14ac:dyDescent="0.35">
      <c r="A523" s="42">
        <f>'VaR Model'!C523</f>
        <v>45331</v>
      </c>
      <c r="B523" s="50">
        <f>'VaR Model'!D523</f>
        <v>3.4705240638666776E-3</v>
      </c>
      <c r="J523" s="42">
        <f>'VaR Model'!C523</f>
        <v>45331</v>
      </c>
      <c r="K523" s="71">
        <f>'VaR Model'!D523</f>
        <v>3.4705240638666776E-3</v>
      </c>
      <c r="L523">
        <f>Backtesting!D523</f>
        <v>0</v>
      </c>
      <c r="M523" s="7">
        <f>Backtesting!F523</f>
        <v>0</v>
      </c>
    </row>
    <row r="524" spans="1:13" x14ac:dyDescent="0.35">
      <c r="A524" s="42">
        <f>'VaR Model'!C524</f>
        <v>45334</v>
      </c>
      <c r="B524" s="50">
        <f>'VaR Model'!D524</f>
        <v>-7.6145376844158801E-3</v>
      </c>
      <c r="J524" s="42">
        <f>'VaR Model'!C524</f>
        <v>45334</v>
      </c>
      <c r="K524" s="71">
        <f>'VaR Model'!D524</f>
        <v>-7.6145376844158801E-3</v>
      </c>
      <c r="L524">
        <f>Backtesting!D524</f>
        <v>0</v>
      </c>
      <c r="M524" s="7">
        <f>Backtesting!F524</f>
        <v>0</v>
      </c>
    </row>
    <row r="525" spans="1:13" x14ac:dyDescent="0.35">
      <c r="A525" s="42">
        <f>'VaR Model'!C525</f>
        <v>45335</v>
      </c>
      <c r="B525" s="50">
        <f>'VaR Model'!D525</f>
        <v>8.3203569571237909E-3</v>
      </c>
      <c r="J525" s="42">
        <f>'VaR Model'!C525</f>
        <v>45335</v>
      </c>
      <c r="K525" s="71">
        <f>'VaR Model'!D525</f>
        <v>8.3203569571237909E-3</v>
      </c>
      <c r="L525">
        <f>Backtesting!D525</f>
        <v>0</v>
      </c>
      <c r="M525" s="7">
        <f>Backtesting!F525</f>
        <v>0</v>
      </c>
    </row>
    <row r="526" spans="1:13" x14ac:dyDescent="0.35">
      <c r="A526" s="42">
        <f>'VaR Model'!C526</f>
        <v>45336</v>
      </c>
      <c r="B526" s="50">
        <f>'VaR Model'!D526</f>
        <v>5.3775124227507017E-4</v>
      </c>
      <c r="J526" s="42">
        <f>'VaR Model'!C526</f>
        <v>45336</v>
      </c>
      <c r="K526" s="71">
        <f>'VaR Model'!D526</f>
        <v>5.3775124227507017E-4</v>
      </c>
      <c r="L526">
        <f>Backtesting!D526</f>
        <v>0</v>
      </c>
      <c r="M526" s="7">
        <f>Backtesting!F526</f>
        <v>0</v>
      </c>
    </row>
    <row r="527" spans="1:13" x14ac:dyDescent="0.35">
      <c r="A527" s="42">
        <f>'VaR Model'!C527</f>
        <v>45337</v>
      </c>
      <c r="B527" s="50">
        <f>'VaR Model'!D527</f>
        <v>-5.0297374284845216E-3</v>
      </c>
      <c r="J527" s="42">
        <f>'VaR Model'!C527</f>
        <v>45337</v>
      </c>
      <c r="K527" s="71">
        <f>'VaR Model'!D527</f>
        <v>-5.0297374284845216E-3</v>
      </c>
      <c r="L527">
        <f>Backtesting!D527</f>
        <v>0</v>
      </c>
      <c r="M527" s="7">
        <f>Backtesting!F527</f>
        <v>0</v>
      </c>
    </row>
    <row r="528" spans="1:13" x14ac:dyDescent="0.35">
      <c r="A528" s="42">
        <f>'VaR Model'!C528</f>
        <v>45338</v>
      </c>
      <c r="B528" s="50">
        <f>'VaR Model'!D528</f>
        <v>4.4852459317339787E-3</v>
      </c>
      <c r="J528" s="42">
        <f>'VaR Model'!C528</f>
        <v>45338</v>
      </c>
      <c r="K528" s="71">
        <f>'VaR Model'!D528</f>
        <v>4.4852459317339787E-3</v>
      </c>
      <c r="L528">
        <f>Backtesting!D528</f>
        <v>0</v>
      </c>
      <c r="M528" s="7">
        <f>Backtesting!F528</f>
        <v>0</v>
      </c>
    </row>
    <row r="529" spans="1:13" x14ac:dyDescent="0.35">
      <c r="A529" s="42">
        <f>'VaR Model'!C529</f>
        <v>45341</v>
      </c>
      <c r="B529" s="50">
        <f>'VaR Model'!D529</f>
        <v>6.669833661487305E-3</v>
      </c>
      <c r="J529" s="42">
        <f>'VaR Model'!C529</f>
        <v>45341</v>
      </c>
      <c r="K529" s="71">
        <f>'VaR Model'!D529</f>
        <v>6.669833661487305E-3</v>
      </c>
      <c r="L529">
        <f>Backtesting!D529</f>
        <v>0</v>
      </c>
      <c r="M529" s="7">
        <f>Backtesting!F529</f>
        <v>0</v>
      </c>
    </row>
    <row r="530" spans="1:13" x14ac:dyDescent="0.35">
      <c r="A530" s="42">
        <f>'VaR Model'!C530</f>
        <v>45342</v>
      </c>
      <c r="B530" s="50">
        <f>'VaR Model'!D530</f>
        <v>-6.3025231866347302E-3</v>
      </c>
      <c r="J530" s="42">
        <f>'VaR Model'!C530</f>
        <v>45342</v>
      </c>
      <c r="K530" s="71">
        <f>'VaR Model'!D530</f>
        <v>-6.3025231866347302E-3</v>
      </c>
      <c r="L530">
        <f>Backtesting!D530</f>
        <v>0</v>
      </c>
      <c r="M530" s="7">
        <f>Backtesting!F530</f>
        <v>0</v>
      </c>
    </row>
    <row r="531" spans="1:13" x14ac:dyDescent="0.35">
      <c r="A531" s="42">
        <f>'VaR Model'!C531</f>
        <v>45343</v>
      </c>
      <c r="B531" s="50">
        <f>'VaR Model'!D531</f>
        <v>-6.7163227297895112E-3</v>
      </c>
      <c r="J531" s="42">
        <f>'VaR Model'!C531</f>
        <v>45343</v>
      </c>
      <c r="K531" s="71">
        <f>'VaR Model'!D531</f>
        <v>-6.7163227297895112E-3</v>
      </c>
      <c r="L531">
        <f>Backtesting!D531</f>
        <v>0</v>
      </c>
      <c r="M531" s="7">
        <f>Backtesting!F531</f>
        <v>0</v>
      </c>
    </row>
    <row r="532" spans="1:13" x14ac:dyDescent="0.35">
      <c r="A532" s="42">
        <f>'VaR Model'!C532</f>
        <v>45344</v>
      </c>
      <c r="B532" s="50">
        <f>'VaR Model'!D532</f>
        <v>1.7200240836972171E-2</v>
      </c>
      <c r="J532" s="42">
        <f>'VaR Model'!C532</f>
        <v>45344</v>
      </c>
      <c r="K532" s="71">
        <f>'VaR Model'!D532</f>
        <v>1.7200240836972171E-2</v>
      </c>
      <c r="L532">
        <f>Backtesting!D532</f>
        <v>0</v>
      </c>
      <c r="M532" s="7">
        <f>Backtesting!F532</f>
        <v>0</v>
      </c>
    </row>
    <row r="533" spans="1:13" x14ac:dyDescent="0.35">
      <c r="A533" s="42">
        <f>'VaR Model'!C533</f>
        <v>45345</v>
      </c>
      <c r="B533" s="50">
        <f>'VaR Model'!D533</f>
        <v>-2.4028952332074676E-3</v>
      </c>
      <c r="J533" s="42">
        <f>'VaR Model'!C533</f>
        <v>45345</v>
      </c>
      <c r="K533" s="71">
        <f>'VaR Model'!D533</f>
        <v>-2.4028952332074676E-3</v>
      </c>
      <c r="L533">
        <f>Backtesting!D533</f>
        <v>0</v>
      </c>
      <c r="M533" s="7">
        <f>Backtesting!F533</f>
        <v>0</v>
      </c>
    </row>
    <row r="534" spans="1:13" x14ac:dyDescent="0.35">
      <c r="A534" s="42">
        <f>'VaR Model'!C534</f>
        <v>45348</v>
      </c>
      <c r="B534" s="50">
        <f>'VaR Model'!D534</f>
        <v>-7.797670681601282E-3</v>
      </c>
      <c r="J534" s="42">
        <f>'VaR Model'!C534</f>
        <v>45348</v>
      </c>
      <c r="K534" s="71">
        <f>'VaR Model'!D534</f>
        <v>-7.797670681601282E-3</v>
      </c>
      <c r="L534">
        <f>Backtesting!D534</f>
        <v>0</v>
      </c>
      <c r="M534" s="7">
        <f>Backtesting!F534</f>
        <v>0</v>
      </c>
    </row>
    <row r="535" spans="1:13" x14ac:dyDescent="0.35">
      <c r="A535" s="42">
        <f>'VaR Model'!C535</f>
        <v>45349</v>
      </c>
      <c r="B535" s="50">
        <f>'VaR Model'!D535</f>
        <v>7.3744286065850232E-3</v>
      </c>
      <c r="J535" s="42">
        <f>'VaR Model'!C535</f>
        <v>45349</v>
      </c>
      <c r="K535" s="71">
        <f>'VaR Model'!D535</f>
        <v>7.3744286065850232E-3</v>
      </c>
      <c r="L535">
        <f>Backtesting!D535</f>
        <v>0</v>
      </c>
      <c r="M535" s="7">
        <f>Backtesting!F535</f>
        <v>0</v>
      </c>
    </row>
    <row r="536" spans="1:13" x14ac:dyDescent="0.35">
      <c r="A536" s="42">
        <f>'VaR Model'!C536</f>
        <v>45350</v>
      </c>
      <c r="B536" s="50">
        <f>'VaR Model'!D536</f>
        <v>-6.5048720870783385E-3</v>
      </c>
      <c r="J536" s="42">
        <f>'VaR Model'!C536</f>
        <v>45350</v>
      </c>
      <c r="K536" s="71">
        <f>'VaR Model'!D536</f>
        <v>-6.5048720870783385E-3</v>
      </c>
      <c r="L536">
        <f>Backtesting!D536</f>
        <v>0</v>
      </c>
      <c r="M536" s="7">
        <f>Backtesting!F536</f>
        <v>0</v>
      </c>
    </row>
    <row r="537" spans="1:13" x14ac:dyDescent="0.35">
      <c r="A537" s="42">
        <f>'VaR Model'!C537</f>
        <v>45351</v>
      </c>
      <c r="B537" s="50">
        <f>'VaR Model'!D537</f>
        <v>2.2630124487381604E-5</v>
      </c>
      <c r="J537" s="42">
        <f>'VaR Model'!C537</f>
        <v>45351</v>
      </c>
      <c r="K537" s="71">
        <f>'VaR Model'!D537</f>
        <v>2.2630124487381604E-5</v>
      </c>
      <c r="L537">
        <f>Backtesting!D537</f>
        <v>0</v>
      </c>
      <c r="M537" s="7">
        <f>Backtesting!F537</f>
        <v>0</v>
      </c>
    </row>
    <row r="538" spans="1:13" x14ac:dyDescent="0.35">
      <c r="A538" s="42">
        <f>'VaR Model'!C538</f>
        <v>45352</v>
      </c>
      <c r="B538" s="50">
        <f>'VaR Model'!D538</f>
        <v>9.9601824109355856E-3</v>
      </c>
      <c r="J538" s="42">
        <f>'VaR Model'!C538</f>
        <v>45352</v>
      </c>
      <c r="K538" s="71">
        <f>'VaR Model'!D538</f>
        <v>9.9601824109355856E-3</v>
      </c>
      <c r="L538">
        <f>Backtesting!D538</f>
        <v>0</v>
      </c>
      <c r="M538" s="7">
        <f>Backtesting!F538</f>
        <v>0</v>
      </c>
    </row>
    <row r="539" spans="1:13" x14ac:dyDescent="0.35">
      <c r="A539" s="42">
        <f>'VaR Model'!C539</f>
        <v>45353</v>
      </c>
      <c r="B539" s="50">
        <f>'VaR Model'!D539</f>
        <v>1.3726046040438391E-2</v>
      </c>
      <c r="J539" s="42">
        <f>'VaR Model'!C539</f>
        <v>45353</v>
      </c>
      <c r="K539" s="71">
        <f>'VaR Model'!D539</f>
        <v>1.3726046040438391E-2</v>
      </c>
      <c r="L539">
        <f>Backtesting!D539</f>
        <v>0</v>
      </c>
      <c r="M539" s="7">
        <f>Backtesting!F539</f>
        <v>0</v>
      </c>
    </row>
    <row r="540" spans="1:13" x14ac:dyDescent="0.35">
      <c r="A540" s="42">
        <f>'VaR Model'!C540</f>
        <v>45355</v>
      </c>
      <c r="B540" s="50">
        <f>'VaR Model'!D540</f>
        <v>-1.3679741297741353E-2</v>
      </c>
      <c r="J540" s="42">
        <f>'VaR Model'!C540</f>
        <v>45355</v>
      </c>
      <c r="K540" s="71">
        <f>'VaR Model'!D540</f>
        <v>-1.3679741297741353E-2</v>
      </c>
      <c r="L540">
        <f>Backtesting!D540</f>
        <v>0</v>
      </c>
      <c r="M540" s="7">
        <f>Backtesting!F540</f>
        <v>0</v>
      </c>
    </row>
    <row r="541" spans="1:13" x14ac:dyDescent="0.35">
      <c r="A541" s="42">
        <f>'VaR Model'!C541</f>
        <v>45356</v>
      </c>
      <c r="B541" s="50">
        <f>'VaR Model'!D541</f>
        <v>-1.0370375533183398E-2</v>
      </c>
      <c r="J541" s="42">
        <f>'VaR Model'!C541</f>
        <v>45356</v>
      </c>
      <c r="K541" s="71">
        <f>'VaR Model'!D541</f>
        <v>-1.0370375533183398E-2</v>
      </c>
      <c r="L541">
        <f>Backtesting!D541</f>
        <v>0</v>
      </c>
      <c r="M541" s="7">
        <f>Backtesting!F541</f>
        <v>0</v>
      </c>
    </row>
    <row r="542" spans="1:13" x14ac:dyDescent="0.35">
      <c r="A542" s="42">
        <f>'VaR Model'!C542</f>
        <v>45357</v>
      </c>
      <c r="B542" s="50">
        <f>'VaR Model'!D542</f>
        <v>6.8211840771521329E-3</v>
      </c>
      <c r="J542" s="42">
        <f>'VaR Model'!C542</f>
        <v>45357</v>
      </c>
      <c r="K542" s="71">
        <f>'VaR Model'!D542</f>
        <v>6.8211840771521329E-3</v>
      </c>
      <c r="L542">
        <f>Backtesting!D542</f>
        <v>0</v>
      </c>
      <c r="M542" s="7">
        <f>Backtesting!F542</f>
        <v>0</v>
      </c>
    </row>
    <row r="543" spans="1:13" x14ac:dyDescent="0.35">
      <c r="A543" s="42">
        <f>'VaR Model'!C543</f>
        <v>45358</v>
      </c>
      <c r="B543" s="50">
        <f>'VaR Model'!D543</f>
        <v>-9.6654766063558779E-5</v>
      </c>
      <c r="J543" s="42">
        <f>'VaR Model'!C543</f>
        <v>45358</v>
      </c>
      <c r="K543" s="71">
        <f>'VaR Model'!D543</f>
        <v>-9.6654766063558779E-5</v>
      </c>
      <c r="L543">
        <f>Backtesting!D543</f>
        <v>0</v>
      </c>
      <c r="M543" s="7">
        <f>Backtesting!F543</f>
        <v>0</v>
      </c>
    </row>
    <row r="544" spans="1:13" x14ac:dyDescent="0.35">
      <c r="A544" s="42">
        <f>'VaR Model'!C544</f>
        <v>45362</v>
      </c>
      <c r="B544" s="50">
        <f>'VaR Model'!D544</f>
        <v>-6.6986313606722447E-3</v>
      </c>
      <c r="J544" s="42">
        <f>'VaR Model'!C544</f>
        <v>45362</v>
      </c>
      <c r="K544" s="71">
        <f>'VaR Model'!D544</f>
        <v>-6.6986313606722447E-3</v>
      </c>
      <c r="L544">
        <f>Backtesting!D544</f>
        <v>0</v>
      </c>
      <c r="M544" s="7">
        <f>Backtesting!F544</f>
        <v>0</v>
      </c>
    </row>
    <row r="545" spans="1:13" x14ac:dyDescent="0.35">
      <c r="A545" s="42">
        <f>'VaR Model'!C545</f>
        <v>45363</v>
      </c>
      <c r="B545" s="50">
        <f>'VaR Model'!D545</f>
        <v>3.3205453603140809E-3</v>
      </c>
      <c r="J545" s="42">
        <f>'VaR Model'!C545</f>
        <v>45363</v>
      </c>
      <c r="K545" s="71">
        <f>'VaR Model'!D545</f>
        <v>3.3205453603140809E-3</v>
      </c>
      <c r="L545">
        <f>Backtesting!D545</f>
        <v>0</v>
      </c>
      <c r="M545" s="7">
        <f>Backtesting!F545</f>
        <v>0</v>
      </c>
    </row>
    <row r="546" spans="1:13" x14ac:dyDescent="0.35">
      <c r="A546" s="42">
        <f>'VaR Model'!C546</f>
        <v>45364</v>
      </c>
      <c r="B546" s="50">
        <f>'VaR Model'!D546</f>
        <v>1.8074084195355148E-3</v>
      </c>
      <c r="J546" s="42">
        <f>'VaR Model'!C546</f>
        <v>45364</v>
      </c>
      <c r="K546" s="71">
        <f>'VaR Model'!D546</f>
        <v>1.8074084195355148E-3</v>
      </c>
      <c r="L546">
        <f>Backtesting!D546</f>
        <v>0</v>
      </c>
      <c r="M546" s="7">
        <f>Backtesting!F546</f>
        <v>0</v>
      </c>
    </row>
    <row r="547" spans="1:13" x14ac:dyDescent="0.35">
      <c r="A547" s="42">
        <f>'VaR Model'!C547</f>
        <v>45365</v>
      </c>
      <c r="B547" s="50">
        <f>'VaR Model'!D547</f>
        <v>6.4452100306641846E-3</v>
      </c>
      <c r="J547" s="42">
        <f>'VaR Model'!C547</f>
        <v>45365</v>
      </c>
      <c r="K547" s="71">
        <f>'VaR Model'!D547</f>
        <v>6.4452100306641846E-3</v>
      </c>
      <c r="L547">
        <f>Backtesting!D547</f>
        <v>0</v>
      </c>
      <c r="M547" s="7">
        <f>Backtesting!F547</f>
        <v>0</v>
      </c>
    </row>
    <row r="548" spans="1:13" x14ac:dyDescent="0.35">
      <c r="A548" s="42">
        <f>'VaR Model'!C548</f>
        <v>45366</v>
      </c>
      <c r="B548" s="50">
        <f>'VaR Model'!D548</f>
        <v>-4.5192225041468309E-3</v>
      </c>
      <c r="J548" s="42">
        <f>'VaR Model'!C548</f>
        <v>45366</v>
      </c>
      <c r="K548" s="71">
        <f>'VaR Model'!D548</f>
        <v>-4.5192225041468309E-3</v>
      </c>
      <c r="L548">
        <f>Backtesting!D548</f>
        <v>0</v>
      </c>
      <c r="M548" s="7">
        <f>Backtesting!F548</f>
        <v>0</v>
      </c>
    </row>
    <row r="549" spans="1:13" x14ac:dyDescent="0.35">
      <c r="A549" s="42">
        <f>'VaR Model'!C549</f>
        <v>45369</v>
      </c>
      <c r="B549" s="50">
        <f>'VaR Model'!D549</f>
        <v>-4.7200455894258102E-3</v>
      </c>
      <c r="J549" s="42">
        <f>'VaR Model'!C549</f>
        <v>45369</v>
      </c>
      <c r="K549" s="71">
        <f>'VaR Model'!D549</f>
        <v>-4.7200455894258102E-3</v>
      </c>
      <c r="L549">
        <f>Backtesting!D549</f>
        <v>0</v>
      </c>
      <c r="M549" s="7">
        <f>Backtesting!F549</f>
        <v>0</v>
      </c>
    </row>
    <row r="550" spans="1:13" x14ac:dyDescent="0.35">
      <c r="A550" s="42">
        <f>'VaR Model'!C550</f>
        <v>45370</v>
      </c>
      <c r="B550" s="50">
        <f>'VaR Model'!D550</f>
        <v>-1.9127190397417084E-2</v>
      </c>
      <c r="J550" s="42">
        <f>'VaR Model'!C550</f>
        <v>45370</v>
      </c>
      <c r="K550" s="71">
        <f>'VaR Model'!D550</f>
        <v>-1.9127190397417084E-2</v>
      </c>
      <c r="L550">
        <f>Backtesting!D550</f>
        <v>0</v>
      </c>
      <c r="M550" s="7">
        <f>Backtesting!F550</f>
        <v>1</v>
      </c>
    </row>
    <row r="551" spans="1:13" x14ac:dyDescent="0.35">
      <c r="A551" s="42">
        <f>'VaR Model'!C551</f>
        <v>45371</v>
      </c>
      <c r="B551" s="50">
        <f>'VaR Model'!D551</f>
        <v>4.5068608720369267E-3</v>
      </c>
      <c r="J551" s="42">
        <f>'VaR Model'!C551</f>
        <v>45371</v>
      </c>
      <c r="K551" s="71">
        <f>'VaR Model'!D551</f>
        <v>4.5068608720369267E-3</v>
      </c>
      <c r="L551">
        <f>Backtesting!D551</f>
        <v>0</v>
      </c>
      <c r="M551" s="7">
        <f>Backtesting!F551</f>
        <v>0</v>
      </c>
    </row>
    <row r="552" spans="1:13" x14ac:dyDescent="0.35">
      <c r="A552" s="42">
        <f>'VaR Model'!C552</f>
        <v>45372</v>
      </c>
      <c r="B552" s="50">
        <f>'VaR Model'!D552</f>
        <v>3.2223440805429831E-3</v>
      </c>
      <c r="J552" s="42">
        <f>'VaR Model'!C552</f>
        <v>45372</v>
      </c>
      <c r="K552" s="71">
        <f>'VaR Model'!D552</f>
        <v>3.2223440805429831E-3</v>
      </c>
      <c r="L552">
        <f>Backtesting!D552</f>
        <v>0</v>
      </c>
      <c r="M552" s="7">
        <f>Backtesting!F552</f>
        <v>0</v>
      </c>
    </row>
    <row r="553" spans="1:13" x14ac:dyDescent="0.35">
      <c r="A553" s="42">
        <f>'VaR Model'!C553</f>
        <v>45373</v>
      </c>
      <c r="B553" s="50">
        <f>'VaR Model'!D553</f>
        <v>-3.5540703638513665E-3</v>
      </c>
      <c r="J553" s="42">
        <f>'VaR Model'!C553</f>
        <v>45373</v>
      </c>
      <c r="K553" s="71">
        <f>'VaR Model'!D553</f>
        <v>-3.5540703638513665E-3</v>
      </c>
      <c r="L553">
        <f>Backtesting!D553</f>
        <v>0</v>
      </c>
      <c r="M553" s="7">
        <f>Backtesting!F553</f>
        <v>0</v>
      </c>
    </row>
    <row r="554" spans="1:13" x14ac:dyDescent="0.35">
      <c r="A554" s="42">
        <f>'VaR Model'!C554</f>
        <v>45377</v>
      </c>
      <c r="B554" s="50">
        <f>'VaR Model'!D554</f>
        <v>-7.3906213830294528E-3</v>
      </c>
      <c r="J554" s="42">
        <f>'VaR Model'!C554</f>
        <v>45377</v>
      </c>
      <c r="K554" s="71">
        <f>'VaR Model'!D554</f>
        <v>-7.3906213830294528E-3</v>
      </c>
      <c r="L554">
        <f>Backtesting!D554</f>
        <v>0</v>
      </c>
      <c r="M554" s="7">
        <f>Backtesting!F554</f>
        <v>0</v>
      </c>
    </row>
    <row r="555" spans="1:13" x14ac:dyDescent="0.35">
      <c r="A555" s="42">
        <f>'VaR Model'!C555</f>
        <v>45378</v>
      </c>
      <c r="B555" s="50">
        <f>'VaR Model'!D555</f>
        <v>4.083866399115654E-3</v>
      </c>
      <c r="J555" s="42">
        <f>'VaR Model'!C555</f>
        <v>45378</v>
      </c>
      <c r="K555" s="71">
        <f>'VaR Model'!D555</f>
        <v>4.083866399115654E-3</v>
      </c>
      <c r="L555">
        <f>Backtesting!D555</f>
        <v>0</v>
      </c>
      <c r="M555" s="7">
        <f>Backtesting!F555</f>
        <v>0</v>
      </c>
    </row>
    <row r="556" spans="1:13" x14ac:dyDescent="0.35">
      <c r="A556" s="42">
        <f>'VaR Model'!C556</f>
        <v>45379</v>
      </c>
      <c r="B556" s="50">
        <f>'VaR Model'!D556</f>
        <v>4.7221980842467697E-3</v>
      </c>
      <c r="J556" s="42">
        <f>'VaR Model'!C556</f>
        <v>45379</v>
      </c>
      <c r="K556" s="71">
        <f>'VaR Model'!D556</f>
        <v>4.7221980842467697E-3</v>
      </c>
      <c r="L556">
        <f>Backtesting!D556</f>
        <v>0</v>
      </c>
      <c r="M556" s="7">
        <f>Backtesting!F556</f>
        <v>0</v>
      </c>
    </row>
    <row r="557" spans="1:13" x14ac:dyDescent="0.35">
      <c r="A557" s="42">
        <f>'VaR Model'!C557</f>
        <v>45383</v>
      </c>
      <c r="B557" s="50">
        <f>'VaR Model'!D557</f>
        <v>1.9660042351332665E-3</v>
      </c>
      <c r="J557" s="42">
        <f>'VaR Model'!C557</f>
        <v>45383</v>
      </c>
      <c r="K557" s="71">
        <f>'VaR Model'!D557</f>
        <v>1.9660042351332665E-3</v>
      </c>
      <c r="L557">
        <f>Backtesting!D557</f>
        <v>0</v>
      </c>
      <c r="M557" s="7">
        <f>Backtesting!F557</f>
        <v>0</v>
      </c>
    </row>
    <row r="558" spans="1:13" x14ac:dyDescent="0.35">
      <c r="A558" s="42">
        <f>'VaR Model'!C558</f>
        <v>45384</v>
      </c>
      <c r="B558" s="50">
        <f>'VaR Model'!D558</f>
        <v>-6.8707304179189618E-3</v>
      </c>
      <c r="J558" s="42">
        <f>'VaR Model'!C558</f>
        <v>45384</v>
      </c>
      <c r="K558" s="71">
        <f>'VaR Model'!D558</f>
        <v>-6.8707304179189618E-3</v>
      </c>
      <c r="L558">
        <f>Backtesting!D558</f>
        <v>0</v>
      </c>
      <c r="M558" s="7">
        <f>Backtesting!F558</f>
        <v>0</v>
      </c>
    </row>
    <row r="559" spans="1:13" x14ac:dyDescent="0.35">
      <c r="A559" s="42">
        <f>'VaR Model'!C559</f>
        <v>45385</v>
      </c>
      <c r="B559" s="50">
        <f>'VaR Model'!D559</f>
        <v>-1.7840018066045984E-4</v>
      </c>
      <c r="J559" s="42">
        <f>'VaR Model'!C559</f>
        <v>45385</v>
      </c>
      <c r="K559" s="71">
        <f>'VaR Model'!D559</f>
        <v>-1.7840018066045984E-4</v>
      </c>
      <c r="L559">
        <f>Backtesting!D559</f>
        <v>0</v>
      </c>
      <c r="M559" s="7">
        <f>Backtesting!F559</f>
        <v>0</v>
      </c>
    </row>
    <row r="560" spans="1:13" x14ac:dyDescent="0.35">
      <c r="A560" s="42">
        <f>'VaR Model'!C560</f>
        <v>45386</v>
      </c>
      <c r="B560" s="50">
        <f>'VaR Model'!D560</f>
        <v>1.6059598023513088E-3</v>
      </c>
      <c r="J560" s="42">
        <f>'VaR Model'!C560</f>
        <v>45386</v>
      </c>
      <c r="K560" s="71">
        <f>'VaR Model'!D560</f>
        <v>1.6059598023513088E-3</v>
      </c>
      <c r="L560">
        <f>Backtesting!D560</f>
        <v>0</v>
      </c>
      <c r="M560" s="7">
        <f>Backtesting!F560</f>
        <v>0</v>
      </c>
    </row>
    <row r="561" spans="1:13" x14ac:dyDescent="0.35">
      <c r="A561" s="42">
        <f>'VaR Model'!C561</f>
        <v>45387</v>
      </c>
      <c r="B561" s="50">
        <f>'VaR Model'!D561</f>
        <v>4.8155047257842829E-4</v>
      </c>
      <c r="J561" s="42">
        <f>'VaR Model'!C561</f>
        <v>45387</v>
      </c>
      <c r="K561" s="71">
        <f>'VaR Model'!D561</f>
        <v>4.8155047257842829E-4</v>
      </c>
      <c r="L561">
        <f>Backtesting!D561</f>
        <v>0</v>
      </c>
      <c r="M561" s="7">
        <f>Backtesting!F561</f>
        <v>0</v>
      </c>
    </row>
    <row r="562" spans="1:13" x14ac:dyDescent="0.35">
      <c r="A562" s="42">
        <f>'VaR Model'!C562</f>
        <v>45390</v>
      </c>
      <c r="B562" s="50">
        <f>'VaR Model'!D562</f>
        <v>4.2633445548111246E-3</v>
      </c>
      <c r="J562" s="42">
        <f>'VaR Model'!C562</f>
        <v>45390</v>
      </c>
      <c r="K562" s="71">
        <f>'VaR Model'!D562</f>
        <v>4.2633445548111246E-3</v>
      </c>
      <c r="L562">
        <f>Backtesting!D562</f>
        <v>0</v>
      </c>
      <c r="M562" s="7">
        <f>Backtesting!F562</f>
        <v>0</v>
      </c>
    </row>
    <row r="563" spans="1:13" x14ac:dyDescent="0.35">
      <c r="A563" s="42">
        <f>'VaR Model'!C563</f>
        <v>45391</v>
      </c>
      <c r="B563" s="50">
        <f>'VaR Model'!D563</f>
        <v>4.4461838075193641E-4</v>
      </c>
      <c r="J563" s="42">
        <f>'VaR Model'!C563</f>
        <v>45391</v>
      </c>
      <c r="K563" s="71">
        <f>'VaR Model'!D563</f>
        <v>4.4461838075193641E-4</v>
      </c>
      <c r="L563">
        <f>Backtesting!D563</f>
        <v>0</v>
      </c>
      <c r="M563" s="7">
        <f>Backtesting!F563</f>
        <v>0</v>
      </c>
    </row>
    <row r="564" spans="1:13" x14ac:dyDescent="0.35">
      <c r="A564" s="42">
        <f>'VaR Model'!C564</f>
        <v>45392</v>
      </c>
      <c r="B564" s="50">
        <f>'VaR Model'!D564</f>
        <v>1.1015438197215137E-2</v>
      </c>
      <c r="J564" s="42">
        <f>'VaR Model'!C564</f>
        <v>45392</v>
      </c>
      <c r="K564" s="71">
        <f>'VaR Model'!D564</f>
        <v>1.1015438197215137E-2</v>
      </c>
      <c r="L564">
        <f>Backtesting!D564</f>
        <v>0</v>
      </c>
      <c r="M564" s="7">
        <f>Backtesting!F564</f>
        <v>0</v>
      </c>
    </row>
    <row r="565" spans="1:13" x14ac:dyDescent="0.35">
      <c r="A565" s="42">
        <f>'VaR Model'!C565</f>
        <v>45394</v>
      </c>
      <c r="B565" s="50">
        <f>'VaR Model'!D565</f>
        <v>-7.859363118994182E-3</v>
      </c>
      <c r="J565" s="42">
        <f>'VaR Model'!C565</f>
        <v>45394</v>
      </c>
      <c r="K565" s="71">
        <f>'VaR Model'!D565</f>
        <v>-7.859363118994182E-3</v>
      </c>
      <c r="L565">
        <f>Backtesting!D565</f>
        <v>0</v>
      </c>
      <c r="M565" s="7">
        <f>Backtesting!F565</f>
        <v>0</v>
      </c>
    </row>
    <row r="566" spans="1:13" x14ac:dyDescent="0.35">
      <c r="A566" s="42">
        <f>'VaR Model'!C566</f>
        <v>45397</v>
      </c>
      <c r="B566" s="50">
        <f>'VaR Model'!D566</f>
        <v>-1.2333799493543948E-2</v>
      </c>
      <c r="J566" s="42">
        <f>'VaR Model'!C566</f>
        <v>45397</v>
      </c>
      <c r="K566" s="71">
        <f>'VaR Model'!D566</f>
        <v>-1.2333799493543948E-2</v>
      </c>
      <c r="L566">
        <f>Backtesting!D566</f>
        <v>0</v>
      </c>
      <c r="M566" s="7">
        <f>Backtesting!F566</f>
        <v>0</v>
      </c>
    </row>
    <row r="567" spans="1:13" x14ac:dyDescent="0.35">
      <c r="A567" s="42">
        <f>'VaR Model'!C567</f>
        <v>45398</v>
      </c>
      <c r="B567" s="50">
        <f>'VaR Model'!D567</f>
        <v>-1.2934026336441138E-2</v>
      </c>
      <c r="J567" s="42">
        <f>'VaR Model'!C567</f>
        <v>45398</v>
      </c>
      <c r="K567" s="71">
        <f>'VaR Model'!D567</f>
        <v>-1.2934026336441138E-2</v>
      </c>
      <c r="L567">
        <f>Backtesting!D567</f>
        <v>0</v>
      </c>
      <c r="M567" s="7">
        <f>Backtesting!F567</f>
        <v>0</v>
      </c>
    </row>
    <row r="568" spans="1:13" x14ac:dyDescent="0.35">
      <c r="A568" s="42">
        <f>'VaR Model'!C568</f>
        <v>45400</v>
      </c>
      <c r="B568" s="50">
        <f>'VaR Model'!D568</f>
        <v>-5.5999407370039295E-3</v>
      </c>
      <c r="J568" s="42">
        <f>'VaR Model'!C568</f>
        <v>45400</v>
      </c>
      <c r="K568" s="71">
        <f>'VaR Model'!D568</f>
        <v>-5.5999407370039295E-3</v>
      </c>
      <c r="L568">
        <f>Backtesting!D568</f>
        <v>0</v>
      </c>
      <c r="M568" s="7">
        <f>Backtesting!F568</f>
        <v>0</v>
      </c>
    </row>
    <row r="569" spans="1:13" x14ac:dyDescent="0.35">
      <c r="A569" s="42">
        <f>'VaR Model'!C569</f>
        <v>45401</v>
      </c>
      <c r="B569" s="50">
        <f>'VaR Model'!D569</f>
        <v>2.8185668706452987E-3</v>
      </c>
      <c r="J569" s="42">
        <f>'VaR Model'!C569</f>
        <v>45401</v>
      </c>
      <c r="K569" s="71">
        <f>'VaR Model'!D569</f>
        <v>2.8185668706452987E-3</v>
      </c>
      <c r="L569">
        <f>Backtesting!D569</f>
        <v>0</v>
      </c>
      <c r="M569" s="7">
        <f>Backtesting!F569</f>
        <v>0</v>
      </c>
    </row>
    <row r="570" spans="1:13" x14ac:dyDescent="0.35">
      <c r="A570" s="42">
        <f>'VaR Model'!C570</f>
        <v>45404</v>
      </c>
      <c r="B570" s="50">
        <f>'VaR Model'!D570</f>
        <v>1.0200746101244662E-2</v>
      </c>
      <c r="J570" s="42">
        <f>'VaR Model'!C570</f>
        <v>45404</v>
      </c>
      <c r="K570" s="71">
        <f>'VaR Model'!D570</f>
        <v>1.0200746101244662E-2</v>
      </c>
      <c r="L570">
        <f>Backtesting!D570</f>
        <v>0</v>
      </c>
      <c r="M570" s="7">
        <f>Backtesting!F570</f>
        <v>0</v>
      </c>
    </row>
    <row r="571" spans="1:13" x14ac:dyDescent="0.35">
      <c r="A571" s="42">
        <f>'VaR Model'!C571</f>
        <v>45405</v>
      </c>
      <c r="B571" s="50">
        <f>'VaR Model'!D571</f>
        <v>1.5584940105653655E-3</v>
      </c>
      <c r="J571" s="42">
        <f>'VaR Model'!C571</f>
        <v>45405</v>
      </c>
      <c r="K571" s="71">
        <f>'VaR Model'!D571</f>
        <v>1.5584940105653655E-3</v>
      </c>
      <c r="L571">
        <f>Backtesting!D571</f>
        <v>0</v>
      </c>
      <c r="M571" s="7">
        <f>Backtesting!F571</f>
        <v>0</v>
      </c>
    </row>
    <row r="572" spans="1:13" x14ac:dyDescent="0.35">
      <c r="A572" s="42">
        <f>'VaR Model'!C572</f>
        <v>45406</v>
      </c>
      <c r="B572" s="50">
        <f>'VaR Model'!D572</f>
        <v>-4.0991547048517003E-3</v>
      </c>
      <c r="J572" s="42">
        <f>'VaR Model'!C572</f>
        <v>45406</v>
      </c>
      <c r="K572" s="71">
        <f>'VaR Model'!D572</f>
        <v>-4.0991547048517003E-3</v>
      </c>
      <c r="L572">
        <f>Backtesting!D572</f>
        <v>0</v>
      </c>
      <c r="M572" s="7">
        <f>Backtesting!F572</f>
        <v>0</v>
      </c>
    </row>
    <row r="573" spans="1:13" x14ac:dyDescent="0.35">
      <c r="A573" s="42">
        <f>'VaR Model'!C573</f>
        <v>45407</v>
      </c>
      <c r="B573" s="50">
        <f>'VaR Model'!D573</f>
        <v>1.0593805305702107E-2</v>
      </c>
      <c r="J573" s="42">
        <f>'VaR Model'!C573</f>
        <v>45407</v>
      </c>
      <c r="K573" s="71">
        <f>'VaR Model'!D573</f>
        <v>1.0593805305702107E-2</v>
      </c>
      <c r="L573">
        <f>Backtesting!D573</f>
        <v>0</v>
      </c>
      <c r="M573" s="7">
        <f>Backtesting!F573</f>
        <v>0</v>
      </c>
    </row>
    <row r="574" spans="1:13" x14ac:dyDescent="0.35">
      <c r="A574" s="42">
        <f>'VaR Model'!C574</f>
        <v>45408</v>
      </c>
      <c r="B574" s="50">
        <f>'VaR Model'!D574</f>
        <v>-3.7068363498302791E-3</v>
      </c>
      <c r="J574" s="42">
        <f>'VaR Model'!C574</f>
        <v>45408</v>
      </c>
      <c r="K574" s="71">
        <f>'VaR Model'!D574</f>
        <v>-3.7068363498302791E-3</v>
      </c>
      <c r="L574">
        <f>Backtesting!D574</f>
        <v>0</v>
      </c>
      <c r="M574" s="7">
        <f>Backtesting!F574</f>
        <v>0</v>
      </c>
    </row>
    <row r="575" spans="1:13" x14ac:dyDescent="0.35">
      <c r="A575" s="42">
        <f>'VaR Model'!C575</f>
        <v>45411</v>
      </c>
      <c r="B575" s="50">
        <f>'VaR Model'!D575</f>
        <v>1.3273789489097092E-2</v>
      </c>
      <c r="J575" s="42">
        <f>'VaR Model'!C575</f>
        <v>45411</v>
      </c>
      <c r="K575" s="71">
        <f>'VaR Model'!D575</f>
        <v>1.3273789489097092E-2</v>
      </c>
      <c r="L575">
        <f>Backtesting!D575</f>
        <v>0</v>
      </c>
      <c r="M575" s="7">
        <f>Backtesting!F575</f>
        <v>0</v>
      </c>
    </row>
    <row r="576" spans="1:13" x14ac:dyDescent="0.35">
      <c r="A576" s="42">
        <f>'VaR Model'!C576</f>
        <v>45412</v>
      </c>
      <c r="B576" s="50">
        <f>'VaR Model'!D576</f>
        <v>-7.151654751316322E-3</v>
      </c>
      <c r="J576" s="42">
        <f>'VaR Model'!C576</f>
        <v>45412</v>
      </c>
      <c r="K576" s="71">
        <f>'VaR Model'!D576</f>
        <v>-7.151654751316322E-3</v>
      </c>
      <c r="L576">
        <f>Backtesting!D576</f>
        <v>0</v>
      </c>
      <c r="M576" s="7">
        <f>Backtesting!F576</f>
        <v>0</v>
      </c>
    </row>
    <row r="577" spans="1:13" x14ac:dyDescent="0.35">
      <c r="A577" s="42">
        <f>'VaR Model'!C577</f>
        <v>45414</v>
      </c>
      <c r="B577" s="50">
        <f>'VaR Model'!D577</f>
        <v>9.1726968822070901E-4</v>
      </c>
      <c r="J577" s="42">
        <f>'VaR Model'!C577</f>
        <v>45414</v>
      </c>
      <c r="K577" s="71">
        <f>'VaR Model'!D577</f>
        <v>9.1726968822070901E-4</v>
      </c>
      <c r="L577">
        <f>Backtesting!D577</f>
        <v>0</v>
      </c>
      <c r="M577" s="7">
        <f>Backtesting!F577</f>
        <v>0</v>
      </c>
    </row>
    <row r="578" spans="1:13" x14ac:dyDescent="0.35">
      <c r="A578" s="42">
        <f>'VaR Model'!C578</f>
        <v>45415</v>
      </c>
      <c r="B578" s="50">
        <f>'VaR Model'!D578</f>
        <v>-5.9685411683812351E-3</v>
      </c>
      <c r="J578" s="42">
        <f>'VaR Model'!C578</f>
        <v>45415</v>
      </c>
      <c r="K578" s="71">
        <f>'VaR Model'!D578</f>
        <v>-5.9685411683812351E-3</v>
      </c>
      <c r="L578">
        <f>Backtesting!D578</f>
        <v>0</v>
      </c>
      <c r="M578" s="7">
        <f>Backtesting!F578</f>
        <v>0</v>
      </c>
    </row>
    <row r="579" spans="1:13" x14ac:dyDescent="0.35">
      <c r="A579" s="42">
        <f>'VaR Model'!C579</f>
        <v>45418</v>
      </c>
      <c r="B579" s="50">
        <f>'VaR Model'!D579</f>
        <v>3.2851453910205212E-3</v>
      </c>
      <c r="J579" s="42">
        <f>'VaR Model'!C579</f>
        <v>45418</v>
      </c>
      <c r="K579" s="71">
        <f>'VaR Model'!D579</f>
        <v>3.2851453910205212E-3</v>
      </c>
      <c r="L579">
        <f>Backtesting!D579</f>
        <v>0</v>
      </c>
      <c r="M579" s="7">
        <f>Backtesting!F579</f>
        <v>0</v>
      </c>
    </row>
    <row r="580" spans="1:13" x14ac:dyDescent="0.35">
      <c r="A580" s="42">
        <f>'VaR Model'!C580</f>
        <v>45419</v>
      </c>
      <c r="B580" s="50">
        <f>'VaR Model'!D580</f>
        <v>2.5038676883659644E-3</v>
      </c>
      <c r="J580" s="42">
        <f>'VaR Model'!C580</f>
        <v>45419</v>
      </c>
      <c r="K580" s="71">
        <f>'VaR Model'!D580</f>
        <v>2.5038676883659644E-3</v>
      </c>
      <c r="L580">
        <f>Backtesting!D580</f>
        <v>0</v>
      </c>
      <c r="M580" s="7">
        <f>Backtesting!F580</f>
        <v>0</v>
      </c>
    </row>
    <row r="581" spans="1:13" x14ac:dyDescent="0.35">
      <c r="A581" s="42">
        <f>'VaR Model'!C581</f>
        <v>45420</v>
      </c>
      <c r="B581" s="50">
        <f>'VaR Model'!D581</f>
        <v>-8.6851482656238573E-4</v>
      </c>
      <c r="J581" s="42">
        <f>'VaR Model'!C581</f>
        <v>45420</v>
      </c>
      <c r="K581" s="71">
        <f>'VaR Model'!D581</f>
        <v>-8.6851482656238573E-4</v>
      </c>
      <c r="L581">
        <f>Backtesting!D581</f>
        <v>0</v>
      </c>
      <c r="M581" s="7">
        <f>Backtesting!F581</f>
        <v>0</v>
      </c>
    </row>
    <row r="582" spans="1:13" x14ac:dyDescent="0.35">
      <c r="A582" s="42">
        <f>'VaR Model'!C582</f>
        <v>45421</v>
      </c>
      <c r="B582" s="50">
        <f>'VaR Model'!D582</f>
        <v>-1.1255701337869186E-2</v>
      </c>
      <c r="J582" s="42">
        <f>'VaR Model'!C582</f>
        <v>45421</v>
      </c>
      <c r="K582" s="71">
        <f>'VaR Model'!D582</f>
        <v>-1.1255701337869186E-2</v>
      </c>
      <c r="L582">
        <f>Backtesting!D582</f>
        <v>0</v>
      </c>
      <c r="M582" s="7">
        <f>Backtesting!F582</f>
        <v>0</v>
      </c>
    </row>
    <row r="583" spans="1:13" x14ac:dyDescent="0.35">
      <c r="A583" s="42">
        <f>'VaR Model'!C583</f>
        <v>45422</v>
      </c>
      <c r="B583" s="50">
        <f>'VaR Model'!D583</f>
        <v>5.6148501857185718E-4</v>
      </c>
      <c r="J583" s="42">
        <f>'VaR Model'!C583</f>
        <v>45422</v>
      </c>
      <c r="K583" s="71">
        <f>'VaR Model'!D583</f>
        <v>5.6148501857185718E-4</v>
      </c>
      <c r="L583">
        <f>Backtesting!D583</f>
        <v>0</v>
      </c>
      <c r="M583" s="7">
        <f>Backtesting!F583</f>
        <v>0</v>
      </c>
    </row>
    <row r="584" spans="1:13" x14ac:dyDescent="0.35">
      <c r="A584" s="42">
        <f>'VaR Model'!C584</f>
        <v>45425</v>
      </c>
      <c r="B584" s="50">
        <f>'VaR Model'!D584</f>
        <v>3.1332937367069534E-3</v>
      </c>
      <c r="J584" s="42">
        <f>'VaR Model'!C584</f>
        <v>45425</v>
      </c>
      <c r="K584" s="71">
        <f>'VaR Model'!D584</f>
        <v>3.1332937367069534E-3</v>
      </c>
      <c r="L584">
        <f>Backtesting!D584</f>
        <v>0</v>
      </c>
      <c r="M584" s="7">
        <f>Backtesting!F584</f>
        <v>0</v>
      </c>
    </row>
    <row r="585" spans="1:13" x14ac:dyDescent="0.35">
      <c r="A585" s="42">
        <f>'VaR Model'!C585</f>
        <v>45426</v>
      </c>
      <c r="B585" s="50">
        <f>'VaR Model'!D585</f>
        <v>-2.0633511191151051E-3</v>
      </c>
      <c r="J585" s="42">
        <f>'VaR Model'!C585</f>
        <v>45426</v>
      </c>
      <c r="K585" s="71">
        <f>'VaR Model'!D585</f>
        <v>-2.0633511191151051E-3</v>
      </c>
      <c r="L585">
        <f>Backtesting!D585</f>
        <v>0</v>
      </c>
      <c r="M585" s="7">
        <f>Backtesting!F585</f>
        <v>0</v>
      </c>
    </row>
    <row r="586" spans="1:13" x14ac:dyDescent="0.35">
      <c r="A586" s="42">
        <f>'VaR Model'!C586</f>
        <v>45427</v>
      </c>
      <c r="B586" s="50">
        <f>'VaR Model'!D586</f>
        <v>-2.4830226954477893E-3</v>
      </c>
      <c r="J586" s="42">
        <f>'VaR Model'!C586</f>
        <v>45427</v>
      </c>
      <c r="K586" s="71">
        <f>'VaR Model'!D586</f>
        <v>-2.4830226954477893E-3</v>
      </c>
      <c r="L586">
        <f>Backtesting!D586</f>
        <v>0</v>
      </c>
      <c r="M586" s="7">
        <f>Backtesting!F586</f>
        <v>0</v>
      </c>
    </row>
    <row r="587" spans="1:13" x14ac:dyDescent="0.35">
      <c r="A587" s="42">
        <f>'VaR Model'!C587</f>
        <v>45428</v>
      </c>
      <c r="B587" s="50">
        <f>'VaR Model'!D587</f>
        <v>9.8735467406117668E-3</v>
      </c>
      <c r="J587" s="42">
        <f>'VaR Model'!C587</f>
        <v>45428</v>
      </c>
      <c r="K587" s="71">
        <f>'VaR Model'!D587</f>
        <v>9.8735467406117668E-3</v>
      </c>
      <c r="L587">
        <f>Backtesting!D587</f>
        <v>0</v>
      </c>
      <c r="M587" s="7">
        <f>Backtesting!F587</f>
        <v>0</v>
      </c>
    </row>
    <row r="588" spans="1:13" x14ac:dyDescent="0.35">
      <c r="A588" s="42">
        <f>'VaR Model'!C588</f>
        <v>45429</v>
      </c>
      <c r="B588" s="50">
        <f>'VaR Model'!D588</f>
        <v>-1.1236122949138008E-3</v>
      </c>
      <c r="J588" s="42">
        <f>'VaR Model'!C588</f>
        <v>45429</v>
      </c>
      <c r="K588" s="71">
        <f>'VaR Model'!D588</f>
        <v>-1.1236122949138008E-3</v>
      </c>
      <c r="L588">
        <f>Backtesting!D588</f>
        <v>0</v>
      </c>
      <c r="M588" s="7">
        <f>Backtesting!F588</f>
        <v>0</v>
      </c>
    </row>
    <row r="589" spans="1:13" x14ac:dyDescent="0.35">
      <c r="A589" s="42">
        <f>'VaR Model'!C589</f>
        <v>45430</v>
      </c>
      <c r="B589" s="50">
        <f>'VaR Model'!D589</f>
        <v>1.3122192855254906E-2</v>
      </c>
      <c r="J589" s="42">
        <f>'VaR Model'!C589</f>
        <v>45430</v>
      </c>
      <c r="K589" s="71">
        <f>'VaR Model'!D589</f>
        <v>1.3122192855254906E-2</v>
      </c>
      <c r="L589">
        <f>Backtesting!D589</f>
        <v>0</v>
      </c>
      <c r="M589" s="7">
        <f>Backtesting!F589</f>
        <v>0</v>
      </c>
    </row>
    <row r="590" spans="1:13" x14ac:dyDescent="0.35">
      <c r="A590" s="42">
        <f>'VaR Model'!C590</f>
        <v>45433</v>
      </c>
      <c r="B590" s="50">
        <f>'VaR Model'!D590</f>
        <v>-1.7581242022110751E-2</v>
      </c>
      <c r="J590" s="42">
        <f>'VaR Model'!C590</f>
        <v>45433</v>
      </c>
      <c r="K590" s="71">
        <f>'VaR Model'!D590</f>
        <v>-1.7581242022110751E-2</v>
      </c>
      <c r="L590">
        <f>Backtesting!D590</f>
        <v>0</v>
      </c>
      <c r="M590" s="7">
        <f>Backtesting!F590</f>
        <v>1</v>
      </c>
    </row>
    <row r="591" spans="1:13" x14ac:dyDescent="0.35">
      <c r="A591" s="42">
        <f>'VaR Model'!C591</f>
        <v>45434</v>
      </c>
      <c r="B591" s="50">
        <f>'VaR Model'!D591</f>
        <v>7.4275291325904096E-3</v>
      </c>
      <c r="J591" s="42">
        <f>'VaR Model'!C591</f>
        <v>45434</v>
      </c>
      <c r="K591" s="71">
        <f>'VaR Model'!D591</f>
        <v>7.4275291325904096E-3</v>
      </c>
      <c r="L591">
        <f>Backtesting!D591</f>
        <v>0</v>
      </c>
      <c r="M591" s="7">
        <f>Backtesting!F591</f>
        <v>0</v>
      </c>
    </row>
    <row r="592" spans="1:13" x14ac:dyDescent="0.35">
      <c r="A592" s="42">
        <f>'VaR Model'!C592</f>
        <v>45435</v>
      </c>
      <c r="B592" s="50">
        <f>'VaR Model'!D592</f>
        <v>1.3860272069421701E-2</v>
      </c>
      <c r="J592" s="42">
        <f>'VaR Model'!C592</f>
        <v>45435</v>
      </c>
      <c r="K592" s="71">
        <f>'VaR Model'!D592</f>
        <v>1.3860272069421701E-2</v>
      </c>
      <c r="L592">
        <f>Backtesting!D592</f>
        <v>0</v>
      </c>
      <c r="M592" s="7">
        <f>Backtesting!F592</f>
        <v>0</v>
      </c>
    </row>
    <row r="593" spans="1:13" x14ac:dyDescent="0.35">
      <c r="A593" s="42">
        <f>'VaR Model'!C593</f>
        <v>45436</v>
      </c>
      <c r="B593" s="50">
        <f>'VaR Model'!D593</f>
        <v>-6.843342971508749E-3</v>
      </c>
      <c r="J593" s="42">
        <f>'VaR Model'!C593</f>
        <v>45436</v>
      </c>
      <c r="K593" s="71">
        <f>'VaR Model'!D593</f>
        <v>-6.843342971508749E-3</v>
      </c>
      <c r="L593">
        <f>Backtesting!D593</f>
        <v>0</v>
      </c>
      <c r="M593" s="7">
        <f>Backtesting!F593</f>
        <v>0</v>
      </c>
    </row>
    <row r="594" spans="1:13" x14ac:dyDescent="0.35">
      <c r="A594" s="42">
        <f>'VaR Model'!C594</f>
        <v>45439</v>
      </c>
      <c r="B594" s="50">
        <f>'VaR Model'!D594</f>
        <v>-3.7259567330283909E-3</v>
      </c>
      <c r="J594" s="42">
        <f>'VaR Model'!C594</f>
        <v>45439</v>
      </c>
      <c r="K594" s="71">
        <f>'VaR Model'!D594</f>
        <v>-3.7259567330283909E-3</v>
      </c>
      <c r="L594">
        <f>Backtesting!D594</f>
        <v>0</v>
      </c>
      <c r="M594" s="7">
        <f>Backtesting!F594</f>
        <v>0</v>
      </c>
    </row>
    <row r="595" spans="1:13" x14ac:dyDescent="0.35">
      <c r="A595" s="42">
        <f>'VaR Model'!C595</f>
        <v>45440</v>
      </c>
      <c r="B595" s="50">
        <f>'VaR Model'!D595</f>
        <v>-3.9969713155875945E-3</v>
      </c>
      <c r="J595" s="42">
        <f>'VaR Model'!C595</f>
        <v>45440</v>
      </c>
      <c r="K595" s="71">
        <f>'VaR Model'!D595</f>
        <v>-3.9969713155875945E-3</v>
      </c>
      <c r="L595">
        <f>Backtesting!D595</f>
        <v>0</v>
      </c>
      <c r="M595" s="7">
        <f>Backtesting!F595</f>
        <v>0</v>
      </c>
    </row>
    <row r="596" spans="1:13" x14ac:dyDescent="0.35">
      <c r="A596" s="42">
        <f>'VaR Model'!C596</f>
        <v>45441</v>
      </c>
      <c r="B596" s="50">
        <f>'VaR Model'!D596</f>
        <v>-9.8061345431732592E-3</v>
      </c>
      <c r="J596" s="42">
        <f>'VaR Model'!C596</f>
        <v>45441</v>
      </c>
      <c r="K596" s="71">
        <f>'VaR Model'!D596</f>
        <v>-9.8061345431732592E-3</v>
      </c>
      <c r="L596">
        <f>Backtesting!D596</f>
        <v>0</v>
      </c>
      <c r="M596" s="7">
        <f>Backtesting!F596</f>
        <v>0</v>
      </c>
    </row>
    <row r="597" spans="1:13" x14ac:dyDescent="0.35">
      <c r="A597" s="42">
        <f>'VaR Model'!C597</f>
        <v>45442</v>
      </c>
      <c r="B597" s="50">
        <f>'VaR Model'!D597</f>
        <v>-1.0280367996299326E-2</v>
      </c>
      <c r="J597" s="42">
        <f>'VaR Model'!C597</f>
        <v>45442</v>
      </c>
      <c r="K597" s="71">
        <f>'VaR Model'!D597</f>
        <v>-1.0280367996299326E-2</v>
      </c>
      <c r="L597">
        <f>Backtesting!D597</f>
        <v>0</v>
      </c>
      <c r="M597" s="7">
        <f>Backtesting!F597</f>
        <v>0</v>
      </c>
    </row>
    <row r="598" spans="1:13" x14ac:dyDescent="0.35">
      <c r="A598" s="42">
        <f>'VaR Model'!C598</f>
        <v>45443</v>
      </c>
      <c r="B598" s="50">
        <f>'VaR Model'!D598</f>
        <v>-1.9781344947627424E-3</v>
      </c>
      <c r="J598" s="42">
        <f>'VaR Model'!C598</f>
        <v>45443</v>
      </c>
      <c r="K598" s="71">
        <f>'VaR Model'!D598</f>
        <v>-1.9781344947627424E-3</v>
      </c>
      <c r="L598">
        <f>Backtesting!D598</f>
        <v>0</v>
      </c>
      <c r="M598" s="7">
        <f>Backtesting!F598</f>
        <v>0</v>
      </c>
    </row>
    <row r="599" spans="1:13" x14ac:dyDescent="0.35">
      <c r="A599" s="42">
        <f>'VaR Model'!C599</f>
        <v>45446</v>
      </c>
      <c r="B599" s="50">
        <f>'VaR Model'!D599</f>
        <v>2.1113589614454614E-2</v>
      </c>
      <c r="J599" s="42">
        <f>'VaR Model'!C599</f>
        <v>45446</v>
      </c>
      <c r="K599" s="71">
        <f>'VaR Model'!D599</f>
        <v>2.1113589614454614E-2</v>
      </c>
      <c r="L599">
        <f>Backtesting!D599</f>
        <v>0</v>
      </c>
      <c r="M599" s="7">
        <f>Backtesting!F599</f>
        <v>0</v>
      </c>
    </row>
    <row r="600" spans="1:13" x14ac:dyDescent="0.35">
      <c r="A600" s="42">
        <f>'VaR Model'!C600</f>
        <v>45447</v>
      </c>
      <c r="B600" s="50">
        <f>'VaR Model'!D600</f>
        <v>-3.9701927000150419E-2</v>
      </c>
      <c r="J600" s="42">
        <f>'VaR Model'!C600</f>
        <v>45447</v>
      </c>
      <c r="K600" s="71">
        <f>'VaR Model'!D600</f>
        <v>-3.9701927000150419E-2</v>
      </c>
      <c r="L600">
        <f>Backtesting!D600</f>
        <v>1</v>
      </c>
      <c r="M600" s="7">
        <f>Backtesting!F600</f>
        <v>1</v>
      </c>
    </row>
    <row r="601" spans="1:13" x14ac:dyDescent="0.35">
      <c r="A601" s="42">
        <f>'VaR Model'!C601</f>
        <v>45448</v>
      </c>
      <c r="B601" s="50">
        <f>'VaR Model'!D601</f>
        <v>2.4149171191485304E-2</v>
      </c>
      <c r="J601" s="42">
        <f>'VaR Model'!C601</f>
        <v>45448</v>
      </c>
      <c r="K601" s="71">
        <f>'VaR Model'!D601</f>
        <v>2.4149171191485304E-2</v>
      </c>
      <c r="L601">
        <f>Backtesting!D601</f>
        <v>0</v>
      </c>
      <c r="M601" s="7">
        <f>Backtesting!F601</f>
        <v>0</v>
      </c>
    </row>
    <row r="602" spans="1:13" x14ac:dyDescent="0.35">
      <c r="A602" s="42">
        <f>'VaR Model'!C602</f>
        <v>45449</v>
      </c>
      <c r="B602" s="50">
        <f>'VaR Model'!D602</f>
        <v>1.4432839107150541E-2</v>
      </c>
      <c r="J602" s="42">
        <f>'VaR Model'!C602</f>
        <v>45449</v>
      </c>
      <c r="K602" s="71">
        <f>'VaR Model'!D602</f>
        <v>1.4432839107150541E-2</v>
      </c>
      <c r="L602">
        <f>Backtesting!D602</f>
        <v>0</v>
      </c>
      <c r="M602" s="7">
        <f>Backtesting!F602</f>
        <v>0</v>
      </c>
    </row>
    <row r="603" spans="1:13" x14ac:dyDescent="0.35">
      <c r="A603" s="42">
        <f>'VaR Model'!C603</f>
        <v>45450</v>
      </c>
      <c r="B603" s="50">
        <f>'VaR Model'!D603</f>
        <v>2.0484708769482857E-2</v>
      </c>
      <c r="J603" s="42">
        <f>'VaR Model'!C603</f>
        <v>45450</v>
      </c>
      <c r="K603" s="71">
        <f>'VaR Model'!D603</f>
        <v>2.0484708769482857E-2</v>
      </c>
      <c r="L603">
        <f>Backtesting!D603</f>
        <v>0</v>
      </c>
      <c r="M603" s="7">
        <f>Backtesting!F603</f>
        <v>0</v>
      </c>
    </row>
    <row r="604" spans="1:13" x14ac:dyDescent="0.35">
      <c r="A604" s="42">
        <f>'VaR Model'!C604</f>
        <v>45453</v>
      </c>
      <c r="B604" s="50">
        <f>'VaR Model'!D604</f>
        <v>-6.7394290975294965E-3</v>
      </c>
      <c r="J604" s="42">
        <f>'VaR Model'!C604</f>
        <v>45453</v>
      </c>
      <c r="K604" s="71">
        <f>'VaR Model'!D604</f>
        <v>-6.7394290975294965E-3</v>
      </c>
      <c r="L604">
        <f>Backtesting!D604</f>
        <v>0</v>
      </c>
      <c r="M604" s="7">
        <f>Backtesting!F604</f>
        <v>0</v>
      </c>
    </row>
    <row r="605" spans="1:13" x14ac:dyDescent="0.35">
      <c r="A605" s="42">
        <f>'VaR Model'!C605</f>
        <v>45454</v>
      </c>
      <c r="B605" s="50">
        <f>'VaR Model'!D605</f>
        <v>-5.6801160525707575E-3</v>
      </c>
      <c r="J605" s="42">
        <f>'VaR Model'!C605</f>
        <v>45454</v>
      </c>
      <c r="K605" s="71">
        <f>'VaR Model'!D605</f>
        <v>-5.6801160525707575E-3</v>
      </c>
      <c r="L605">
        <f>Backtesting!D605</f>
        <v>0</v>
      </c>
      <c r="M605" s="7">
        <f>Backtesting!F605</f>
        <v>0</v>
      </c>
    </row>
    <row r="606" spans="1:13" x14ac:dyDescent="0.35">
      <c r="A606" s="42">
        <f>'VaR Model'!C606</f>
        <v>45455</v>
      </c>
      <c r="B606" s="50">
        <f>'VaR Model'!D606</f>
        <v>-1.6518541811106758E-3</v>
      </c>
      <c r="J606" s="42">
        <f>'VaR Model'!C606</f>
        <v>45455</v>
      </c>
      <c r="K606" s="71">
        <f>'VaR Model'!D606</f>
        <v>-1.6518541811106758E-3</v>
      </c>
      <c r="L606">
        <f>Backtesting!D606</f>
        <v>0</v>
      </c>
      <c r="M606" s="7">
        <f>Backtesting!F606</f>
        <v>0</v>
      </c>
    </row>
    <row r="607" spans="1:13" x14ac:dyDescent="0.35">
      <c r="A607" s="42">
        <f>'VaR Model'!C607</f>
        <v>45456</v>
      </c>
      <c r="B607" s="50">
        <f>'VaR Model'!D607</f>
        <v>7.3314100624114517E-4</v>
      </c>
      <c r="J607" s="42">
        <f>'VaR Model'!C607</f>
        <v>45456</v>
      </c>
      <c r="K607" s="71">
        <f>'VaR Model'!D607</f>
        <v>7.3314100624114517E-4</v>
      </c>
      <c r="L607">
        <f>Backtesting!D607</f>
        <v>0</v>
      </c>
      <c r="M607" s="7">
        <f>Backtesting!F607</f>
        <v>0</v>
      </c>
    </row>
    <row r="608" spans="1:13" x14ac:dyDescent="0.35">
      <c r="A608" s="42">
        <f>'VaR Model'!C608</f>
        <v>45457</v>
      </c>
      <c r="B608" s="50">
        <f>'VaR Model'!D608</f>
        <v>-1.3115922084406928E-3</v>
      </c>
      <c r="J608" s="42">
        <f>'VaR Model'!C608</f>
        <v>45457</v>
      </c>
      <c r="K608" s="71">
        <f>'VaR Model'!D608</f>
        <v>-1.3115922084406928E-3</v>
      </c>
      <c r="L608">
        <f>Backtesting!D608</f>
        <v>0</v>
      </c>
      <c r="M608" s="7">
        <f>Backtesting!F608</f>
        <v>0</v>
      </c>
    </row>
    <row r="609" spans="1:13" x14ac:dyDescent="0.35">
      <c r="A609" s="42">
        <f>'VaR Model'!C609</f>
        <v>45461</v>
      </c>
      <c r="B609" s="50">
        <f>'VaR Model'!D609</f>
        <v>2.8003799466051267E-3</v>
      </c>
      <c r="J609" s="42">
        <f>'VaR Model'!C609</f>
        <v>45461</v>
      </c>
      <c r="K609" s="71">
        <f>'VaR Model'!D609</f>
        <v>2.8003799466051267E-3</v>
      </c>
      <c r="L609">
        <f>Backtesting!D609</f>
        <v>0</v>
      </c>
      <c r="M609" s="7">
        <f>Backtesting!F609</f>
        <v>0</v>
      </c>
    </row>
    <row r="610" spans="1:13" x14ac:dyDescent="0.35">
      <c r="A610" s="42">
        <f>'VaR Model'!C610</f>
        <v>45462</v>
      </c>
      <c r="B610" s="50">
        <f>'VaR Model'!D610</f>
        <v>-5.8136139162711297E-4</v>
      </c>
      <c r="J610" s="42">
        <f>'VaR Model'!C610</f>
        <v>45462</v>
      </c>
      <c r="K610" s="71">
        <f>'VaR Model'!D610</f>
        <v>-5.8136139162711297E-4</v>
      </c>
      <c r="L610">
        <f>Backtesting!D610</f>
        <v>0</v>
      </c>
      <c r="M610" s="7">
        <f>Backtesting!F610</f>
        <v>0</v>
      </c>
    </row>
    <row r="611" spans="1:13" x14ac:dyDescent="0.35">
      <c r="A611" s="42">
        <f>'VaR Model'!C611</f>
        <v>45463</v>
      </c>
      <c r="B611" s="50">
        <f>'VaR Model'!D611</f>
        <v>3.8085055462213561E-3</v>
      </c>
      <c r="J611" s="42">
        <f>'VaR Model'!C611</f>
        <v>45463</v>
      </c>
      <c r="K611" s="71">
        <f>'VaR Model'!D611</f>
        <v>3.8085055462213561E-3</v>
      </c>
      <c r="L611">
        <f>Backtesting!D611</f>
        <v>0</v>
      </c>
      <c r="M611" s="7">
        <f>Backtesting!F611</f>
        <v>0</v>
      </c>
    </row>
    <row r="612" spans="1:13" x14ac:dyDescent="0.35">
      <c r="A612" s="42">
        <f>'VaR Model'!C612</f>
        <v>45464</v>
      </c>
      <c r="B612" s="50">
        <f>'VaR Model'!D612</f>
        <v>-5.9272702626660383E-4</v>
      </c>
      <c r="J612" s="42">
        <f>'VaR Model'!C612</f>
        <v>45464</v>
      </c>
      <c r="K612" s="71">
        <f>'VaR Model'!D612</f>
        <v>-5.9272702626660383E-4</v>
      </c>
      <c r="L612">
        <f>Backtesting!D612</f>
        <v>0</v>
      </c>
      <c r="M612" s="7">
        <f>Backtesting!F612</f>
        <v>0</v>
      </c>
    </row>
    <row r="613" spans="1:13" x14ac:dyDescent="0.35">
      <c r="A613" s="42">
        <f>'VaR Model'!C613</f>
        <v>45467</v>
      </c>
      <c r="B613" s="50">
        <f>'VaR Model'!D613</f>
        <v>1.5556989654796868E-3</v>
      </c>
      <c r="J613" s="42">
        <f>'VaR Model'!C613</f>
        <v>45467</v>
      </c>
      <c r="K613" s="71">
        <f>'VaR Model'!D613</f>
        <v>1.5556989654796868E-3</v>
      </c>
      <c r="L613">
        <f>Backtesting!D613</f>
        <v>0</v>
      </c>
      <c r="M613" s="7">
        <f>Backtesting!F613</f>
        <v>0</v>
      </c>
    </row>
    <row r="614" spans="1:13" x14ac:dyDescent="0.35">
      <c r="A614" s="42">
        <f>'VaR Model'!C614</f>
        <v>45468</v>
      </c>
      <c r="B614" s="50">
        <f>'VaR Model'!D614</f>
        <v>9.5163037236560902E-3</v>
      </c>
      <c r="J614" s="42">
        <f>'VaR Model'!C614</f>
        <v>45468</v>
      </c>
      <c r="K614" s="71">
        <f>'VaR Model'!D614</f>
        <v>9.5163037236560902E-3</v>
      </c>
      <c r="L614">
        <f>Backtesting!D614</f>
        <v>0</v>
      </c>
      <c r="M614" s="7">
        <f>Backtesting!F614</f>
        <v>0</v>
      </c>
    </row>
    <row r="615" spans="1:13" x14ac:dyDescent="0.35">
      <c r="A615" s="42">
        <f>'VaR Model'!C615</f>
        <v>45469</v>
      </c>
      <c r="B615" s="50">
        <f>'VaR Model'!D615</f>
        <v>1.2437162416475998E-2</v>
      </c>
      <c r="J615" s="42">
        <f>'VaR Model'!C615</f>
        <v>45469</v>
      </c>
      <c r="K615" s="71">
        <f>'VaR Model'!D615</f>
        <v>1.2437162416475998E-2</v>
      </c>
      <c r="L615">
        <f>Backtesting!D615</f>
        <v>0</v>
      </c>
      <c r="M615" s="7">
        <f>Backtesting!F615</f>
        <v>0</v>
      </c>
    </row>
    <row r="616" spans="1:13" x14ac:dyDescent="0.35">
      <c r="A616" s="42">
        <f>'VaR Model'!C616</f>
        <v>45470</v>
      </c>
      <c r="B616" s="50">
        <f>'VaR Model'!D616</f>
        <v>1.1473332448452523E-2</v>
      </c>
      <c r="J616" s="42">
        <f>'VaR Model'!C616</f>
        <v>45470</v>
      </c>
      <c r="K616" s="71">
        <f>'VaR Model'!D616</f>
        <v>1.1473332448452523E-2</v>
      </c>
      <c r="L616">
        <f>Backtesting!D616</f>
        <v>0</v>
      </c>
      <c r="M616" s="7">
        <f>Backtesting!F616</f>
        <v>0</v>
      </c>
    </row>
    <row r="617" spans="1:13" x14ac:dyDescent="0.35">
      <c r="A617" s="42">
        <f>'VaR Model'!C617</f>
        <v>45471</v>
      </c>
      <c r="B617" s="50">
        <f>'VaR Model'!D617</f>
        <v>-1.5531092221898416E-3</v>
      </c>
      <c r="J617" s="42">
        <f>'VaR Model'!C617</f>
        <v>45471</v>
      </c>
      <c r="K617" s="71">
        <f>'VaR Model'!D617</f>
        <v>-1.5531092221898416E-3</v>
      </c>
      <c r="L617">
        <f>Backtesting!D617</f>
        <v>0</v>
      </c>
      <c r="M617" s="7">
        <f>Backtesting!F617</f>
        <v>0</v>
      </c>
    </row>
    <row r="618" spans="1:13" x14ac:dyDescent="0.35">
      <c r="A618" s="42">
        <f>'VaR Model'!C618</f>
        <v>45474</v>
      </c>
      <c r="B618" s="50">
        <f>'VaR Model'!D618</f>
        <v>1.011062670795684E-2</v>
      </c>
      <c r="J618" s="42">
        <f>'VaR Model'!C618</f>
        <v>45474</v>
      </c>
      <c r="K618" s="71">
        <f>'VaR Model'!D618</f>
        <v>1.011062670795684E-2</v>
      </c>
      <c r="L618">
        <f>Backtesting!D618</f>
        <v>0</v>
      </c>
      <c r="M618" s="7">
        <f>Backtesting!F618</f>
        <v>0</v>
      </c>
    </row>
    <row r="619" spans="1:13" x14ac:dyDescent="0.35">
      <c r="A619" s="42">
        <f>'VaR Model'!C619</f>
        <v>45475</v>
      </c>
      <c r="B619" s="50">
        <f>'VaR Model'!D619</f>
        <v>1.1716185835048101E-3</v>
      </c>
      <c r="J619" s="42">
        <f>'VaR Model'!C619</f>
        <v>45475</v>
      </c>
      <c r="K619" s="71">
        <f>'VaR Model'!D619</f>
        <v>1.1716185835048101E-3</v>
      </c>
      <c r="L619">
        <f>Backtesting!D619</f>
        <v>0</v>
      </c>
      <c r="M619" s="7">
        <f>Backtesting!F619</f>
        <v>0</v>
      </c>
    </row>
    <row r="620" spans="1:13" x14ac:dyDescent="0.35">
      <c r="A620" s="42">
        <f>'VaR Model'!C620</f>
        <v>45476</v>
      </c>
      <c r="B620" s="50">
        <f>'VaR Model'!D620</f>
        <v>-3.1548876385480628E-4</v>
      </c>
      <c r="J620" s="42">
        <f>'VaR Model'!C620</f>
        <v>45476</v>
      </c>
      <c r="K620" s="71">
        <f>'VaR Model'!D620</f>
        <v>-3.1548876385480628E-4</v>
      </c>
      <c r="L620">
        <f>Backtesting!D620</f>
        <v>0</v>
      </c>
      <c r="M620" s="7">
        <f>Backtesting!F620</f>
        <v>0</v>
      </c>
    </row>
    <row r="621" spans="1:13" x14ac:dyDescent="0.35">
      <c r="A621" s="42">
        <f>'VaR Model'!C621</f>
        <v>45477</v>
      </c>
      <c r="B621" s="50">
        <f>'VaR Model'!D621</f>
        <v>1.1342379315624542E-2</v>
      </c>
      <c r="J621" s="42">
        <f>'VaR Model'!C621</f>
        <v>45477</v>
      </c>
      <c r="K621" s="71">
        <f>'VaR Model'!D621</f>
        <v>1.1342379315624542E-2</v>
      </c>
      <c r="L621">
        <f>Backtesting!D621</f>
        <v>0</v>
      </c>
      <c r="M621" s="7">
        <f>Backtesting!F621</f>
        <v>0</v>
      </c>
    </row>
    <row r="622" spans="1:13" x14ac:dyDescent="0.35">
      <c r="A622" s="42">
        <f>'VaR Model'!C622</f>
        <v>45478</v>
      </c>
      <c r="B622" s="50">
        <f>'VaR Model'!D622</f>
        <v>5.7572586085101497E-3</v>
      </c>
      <c r="J622" s="42">
        <f>'VaR Model'!C622</f>
        <v>45478</v>
      </c>
      <c r="K622" s="71">
        <f>'VaR Model'!D622</f>
        <v>5.7572586085101497E-3</v>
      </c>
      <c r="L622">
        <f>Backtesting!D622</f>
        <v>0</v>
      </c>
      <c r="M622" s="7">
        <f>Backtesting!F622</f>
        <v>0</v>
      </c>
    </row>
    <row r="623" spans="1:13" x14ac:dyDescent="0.35">
      <c r="A623" s="42">
        <f>'VaR Model'!C623</f>
        <v>45481</v>
      </c>
      <c r="B623" s="50">
        <f>'VaR Model'!D623</f>
        <v>7.1289704038116752E-3</v>
      </c>
      <c r="J623" s="42">
        <f>'VaR Model'!C623</f>
        <v>45481</v>
      </c>
      <c r="K623" s="71">
        <f>'VaR Model'!D623</f>
        <v>7.1289704038116752E-3</v>
      </c>
      <c r="L623">
        <f>Backtesting!D623</f>
        <v>0</v>
      </c>
      <c r="M623" s="7">
        <f>Backtesting!F623</f>
        <v>0</v>
      </c>
    </row>
    <row r="624" spans="1:13" x14ac:dyDescent="0.35">
      <c r="A624" s="42">
        <f>'VaR Model'!C624</f>
        <v>45482</v>
      </c>
      <c r="B624" s="50">
        <f>'VaR Model'!D624</f>
        <v>3.8865126419391008E-3</v>
      </c>
      <c r="J624" s="42">
        <f>'VaR Model'!C624</f>
        <v>45482</v>
      </c>
      <c r="K624" s="71">
        <f>'VaR Model'!D624</f>
        <v>3.8865126419391008E-3</v>
      </c>
      <c r="L624">
        <f>Backtesting!D624</f>
        <v>0</v>
      </c>
      <c r="M624" s="7">
        <f>Backtesting!F624</f>
        <v>0</v>
      </c>
    </row>
    <row r="625" spans="1:13" x14ac:dyDescent="0.35">
      <c r="A625" s="42">
        <f>'VaR Model'!C625</f>
        <v>45483</v>
      </c>
      <c r="B625" s="50">
        <f>'VaR Model'!D625</f>
        <v>-7.0297436732962952E-3</v>
      </c>
      <c r="J625" s="42">
        <f>'VaR Model'!C625</f>
        <v>45483</v>
      </c>
      <c r="K625" s="71">
        <f>'VaR Model'!D625</f>
        <v>-7.0297436732962952E-3</v>
      </c>
      <c r="L625">
        <f>Backtesting!D625</f>
        <v>0</v>
      </c>
      <c r="M625" s="7">
        <f>Backtesting!F625</f>
        <v>0</v>
      </c>
    </row>
    <row r="626" spans="1:13" x14ac:dyDescent="0.35">
      <c r="A626" s="42">
        <f>'VaR Model'!C626</f>
        <v>45484</v>
      </c>
      <c r="B626" s="50">
        <f>'VaR Model'!D626</f>
        <v>3.2293796020929858E-3</v>
      </c>
      <c r="J626" s="42">
        <f>'VaR Model'!C626</f>
        <v>45484</v>
      </c>
      <c r="K626" s="71">
        <f>'VaR Model'!D626</f>
        <v>3.2293796020929858E-3</v>
      </c>
      <c r="L626">
        <f>Backtesting!D626</f>
        <v>0</v>
      </c>
      <c r="M626" s="7">
        <f>Backtesting!F626</f>
        <v>0</v>
      </c>
    </row>
    <row r="627" spans="1:13" x14ac:dyDescent="0.35">
      <c r="A627" s="42">
        <f>'VaR Model'!C627</f>
        <v>45485</v>
      </c>
      <c r="B627" s="50">
        <f>'VaR Model'!D627</f>
        <v>2.1165184051026475E-2</v>
      </c>
      <c r="J627" s="42">
        <f>'VaR Model'!C627</f>
        <v>45485</v>
      </c>
      <c r="K627" s="71">
        <f>'VaR Model'!D627</f>
        <v>2.1165184051026475E-2</v>
      </c>
      <c r="L627">
        <f>Backtesting!D627</f>
        <v>0</v>
      </c>
      <c r="M627" s="7">
        <f>Backtesting!F627</f>
        <v>0</v>
      </c>
    </row>
    <row r="628" spans="1:13" x14ac:dyDescent="0.35">
      <c r="A628" s="42">
        <f>'VaR Model'!C628</f>
        <v>45488</v>
      </c>
      <c r="B628" s="50">
        <f>'VaR Model'!D628</f>
        <v>2.1120737078028835E-4</v>
      </c>
      <c r="J628" s="42">
        <f>'VaR Model'!C628</f>
        <v>45488</v>
      </c>
      <c r="K628" s="71">
        <f>'VaR Model'!D628</f>
        <v>2.1120737078028835E-4</v>
      </c>
      <c r="L628">
        <f>Backtesting!D628</f>
        <v>0</v>
      </c>
      <c r="M628" s="7">
        <f>Backtesting!F628</f>
        <v>0</v>
      </c>
    </row>
    <row r="629" spans="1:13" x14ac:dyDescent="0.35">
      <c r="A629" s="42">
        <f>'VaR Model'!C629</f>
        <v>45489</v>
      </c>
      <c r="B629" s="50">
        <f>'VaR Model'!D629</f>
        <v>2.5537852272601558E-3</v>
      </c>
      <c r="J629" s="42">
        <f>'VaR Model'!C629</f>
        <v>45489</v>
      </c>
      <c r="K629" s="71">
        <f>'VaR Model'!D629</f>
        <v>2.5537852272601558E-3</v>
      </c>
      <c r="L629">
        <f>Backtesting!D629</f>
        <v>0</v>
      </c>
      <c r="M629" s="7">
        <f>Backtesting!F629</f>
        <v>0</v>
      </c>
    </row>
    <row r="630" spans="1:13" x14ac:dyDescent="0.35">
      <c r="A630" s="42">
        <f>'VaR Model'!C630</f>
        <v>45491</v>
      </c>
      <c r="B630" s="50">
        <f>'VaR Model'!D630</f>
        <v>1.5126573692586139E-2</v>
      </c>
      <c r="J630" s="42">
        <f>'VaR Model'!C630</f>
        <v>45491</v>
      </c>
      <c r="K630" s="71">
        <f>'VaR Model'!D630</f>
        <v>1.5126573692586139E-2</v>
      </c>
      <c r="L630">
        <f>Backtesting!D630</f>
        <v>0</v>
      </c>
      <c r="M630" s="7">
        <f>Backtesting!F630</f>
        <v>0</v>
      </c>
    </row>
    <row r="631" spans="1:13" x14ac:dyDescent="0.35">
      <c r="A631" s="42">
        <f>'VaR Model'!C631</f>
        <v>45492</v>
      </c>
      <c r="B631" s="50">
        <f>'VaR Model'!D631</f>
        <v>8.6406189066834047E-4</v>
      </c>
      <c r="J631" s="42">
        <f>'VaR Model'!C631</f>
        <v>45492</v>
      </c>
      <c r="K631" s="71">
        <f>'VaR Model'!D631</f>
        <v>8.6406189066834047E-4</v>
      </c>
      <c r="L631">
        <f>Backtesting!D631</f>
        <v>0</v>
      </c>
      <c r="M631" s="7">
        <f>Backtesting!F631</f>
        <v>0</v>
      </c>
    </row>
    <row r="632" spans="1:13" x14ac:dyDescent="0.35">
      <c r="A632" s="42">
        <f>'VaR Model'!C632</f>
        <v>45495</v>
      </c>
      <c r="B632" s="50">
        <f>'VaR Model'!D632</f>
        <v>-1.0450901639082614E-2</v>
      </c>
      <c r="J632" s="42">
        <f>'VaR Model'!C632</f>
        <v>45495</v>
      </c>
      <c r="K632" s="71">
        <f>'VaR Model'!D632</f>
        <v>-1.0450901639082614E-2</v>
      </c>
      <c r="L632">
        <f>Backtesting!D632</f>
        <v>0</v>
      </c>
      <c r="M632" s="7">
        <f>Backtesting!F632</f>
        <v>0</v>
      </c>
    </row>
    <row r="633" spans="1:13" x14ac:dyDescent="0.35">
      <c r="A633" s="42">
        <f>'VaR Model'!C633</f>
        <v>45496</v>
      </c>
      <c r="B633" s="50">
        <f>'VaR Model'!D633</f>
        <v>1.0216690951712293E-2</v>
      </c>
      <c r="J633" s="42">
        <f>'VaR Model'!C633</f>
        <v>45496</v>
      </c>
      <c r="K633" s="71">
        <f>'VaR Model'!D633</f>
        <v>1.0216690951712293E-2</v>
      </c>
      <c r="L633">
        <f>Backtesting!D633</f>
        <v>0</v>
      </c>
      <c r="M633" s="7">
        <f>Backtesting!F633</f>
        <v>0</v>
      </c>
    </row>
    <row r="634" spans="1:13" x14ac:dyDescent="0.35">
      <c r="A634" s="42">
        <f>'VaR Model'!C634</f>
        <v>45497</v>
      </c>
      <c r="B634" s="50">
        <f>'VaR Model'!D634</f>
        <v>1.0434345439956369E-3</v>
      </c>
      <c r="J634" s="42">
        <f>'VaR Model'!C634</f>
        <v>45497</v>
      </c>
      <c r="K634" s="71">
        <f>'VaR Model'!D634</f>
        <v>1.0434345439956369E-3</v>
      </c>
      <c r="L634">
        <f>Backtesting!D634</f>
        <v>0</v>
      </c>
      <c r="M634" s="7">
        <f>Backtesting!F634</f>
        <v>0</v>
      </c>
    </row>
    <row r="635" spans="1:13" x14ac:dyDescent="0.35">
      <c r="A635" s="42">
        <f>'VaR Model'!C635</f>
        <v>45498</v>
      </c>
      <c r="B635" s="50">
        <f>'VaR Model'!D635</f>
        <v>-6.4979355055697864E-3</v>
      </c>
      <c r="J635" s="42">
        <f>'VaR Model'!C635</f>
        <v>45498</v>
      </c>
      <c r="K635" s="71">
        <f>'VaR Model'!D635</f>
        <v>-6.4979355055697864E-3</v>
      </c>
      <c r="L635">
        <f>Backtesting!D635</f>
        <v>0</v>
      </c>
      <c r="M635" s="7">
        <f>Backtesting!F635</f>
        <v>0</v>
      </c>
    </row>
    <row r="636" spans="1:13" x14ac:dyDescent="0.35">
      <c r="A636" s="42">
        <f>'VaR Model'!C636</f>
        <v>45499</v>
      </c>
      <c r="B636" s="50">
        <f>'VaR Model'!D636</f>
        <v>1.7541420775363654E-2</v>
      </c>
      <c r="J636" s="42">
        <f>'VaR Model'!C636</f>
        <v>45499</v>
      </c>
      <c r="K636" s="71">
        <f>'VaR Model'!D636</f>
        <v>1.7541420775363654E-2</v>
      </c>
      <c r="L636">
        <f>Backtesting!D636</f>
        <v>0</v>
      </c>
      <c r="M636" s="7">
        <f>Backtesting!F636</f>
        <v>0</v>
      </c>
    </row>
    <row r="637" spans="1:13" x14ac:dyDescent="0.35">
      <c r="A637" s="42">
        <f>'VaR Model'!C637</f>
        <v>45502</v>
      </c>
      <c r="B637" s="50">
        <f>'VaR Model'!D637</f>
        <v>-1.234156242948781E-3</v>
      </c>
      <c r="J637" s="42">
        <f>'VaR Model'!C637</f>
        <v>45502</v>
      </c>
      <c r="K637" s="71">
        <f>'VaR Model'!D637</f>
        <v>-1.234156242948781E-3</v>
      </c>
      <c r="L637">
        <f>Backtesting!D637</f>
        <v>0</v>
      </c>
      <c r="M637" s="7">
        <f>Backtesting!F637</f>
        <v>0</v>
      </c>
    </row>
    <row r="638" spans="1:13" x14ac:dyDescent="0.35">
      <c r="A638" s="42">
        <f>'VaR Model'!C638</f>
        <v>45503</v>
      </c>
      <c r="B638" s="50">
        <f>'VaR Model'!D638</f>
        <v>-4.0238399812186562E-3</v>
      </c>
      <c r="J638" s="42">
        <f>'VaR Model'!C638</f>
        <v>45503</v>
      </c>
      <c r="K638" s="71">
        <f>'VaR Model'!D638</f>
        <v>-4.0238399812186562E-3</v>
      </c>
      <c r="L638">
        <f>Backtesting!D638</f>
        <v>0</v>
      </c>
      <c r="M638" s="7">
        <f>Backtesting!F638</f>
        <v>0</v>
      </c>
    </row>
    <row r="639" spans="1:13" x14ac:dyDescent="0.35">
      <c r="A639" s="42">
        <f>'VaR Model'!C639</f>
        <v>45504</v>
      </c>
      <c r="B639" s="50">
        <f>'VaR Model'!D639</f>
        <v>2.0543972517689047E-3</v>
      </c>
      <c r="J639" s="42">
        <f>'VaR Model'!C639</f>
        <v>45504</v>
      </c>
      <c r="K639" s="71">
        <f>'VaR Model'!D639</f>
        <v>2.0543972517689047E-3</v>
      </c>
      <c r="L639">
        <f>Backtesting!D639</f>
        <v>0</v>
      </c>
      <c r="M639" s="7">
        <f>Backtesting!F639</f>
        <v>0</v>
      </c>
    </row>
    <row r="640" spans="1:13" x14ac:dyDescent="0.35">
      <c r="A640" s="42">
        <f>'VaR Model'!C640</f>
        <v>45505</v>
      </c>
      <c r="B640" s="50">
        <f>'VaR Model'!D640</f>
        <v>-1.2989523468074251E-3</v>
      </c>
      <c r="J640" s="42">
        <f>'VaR Model'!C640</f>
        <v>45505</v>
      </c>
      <c r="K640" s="71">
        <f>'VaR Model'!D640</f>
        <v>-1.2989523468074251E-3</v>
      </c>
      <c r="L640">
        <f>Backtesting!D640</f>
        <v>0</v>
      </c>
      <c r="M640" s="7">
        <f>Backtesting!F640</f>
        <v>0</v>
      </c>
    </row>
    <row r="641" spans="1:13" x14ac:dyDescent="0.35">
      <c r="A641" s="42">
        <f>'VaR Model'!C641</f>
        <v>45506</v>
      </c>
      <c r="B641" s="50">
        <f>'VaR Model'!D641</f>
        <v>-1.4918813561925804E-2</v>
      </c>
      <c r="J641" s="42">
        <f>'VaR Model'!C641</f>
        <v>45506</v>
      </c>
      <c r="K641" s="71">
        <f>'VaR Model'!D641</f>
        <v>-1.4918813561925804E-2</v>
      </c>
      <c r="L641">
        <f>Backtesting!D641</f>
        <v>0</v>
      </c>
      <c r="M641" s="7">
        <f>Backtesting!F641</f>
        <v>0</v>
      </c>
    </row>
    <row r="642" spans="1:13" x14ac:dyDescent="0.35">
      <c r="A642" s="42">
        <f>'VaR Model'!C642</f>
        <v>45509</v>
      </c>
      <c r="B642" s="50">
        <f>'VaR Model'!D642</f>
        <v>-2.6205383142125293E-2</v>
      </c>
      <c r="J642" s="42">
        <f>'VaR Model'!C642</f>
        <v>45509</v>
      </c>
      <c r="K642" s="71">
        <f>'VaR Model'!D642</f>
        <v>-2.6205383142125293E-2</v>
      </c>
      <c r="L642">
        <f>Backtesting!D642</f>
        <v>1</v>
      </c>
      <c r="M642" s="7">
        <f>Backtesting!F642</f>
        <v>1</v>
      </c>
    </row>
    <row r="643" spans="1:13" x14ac:dyDescent="0.35">
      <c r="A643" s="42">
        <f>'VaR Model'!C643</f>
        <v>45510</v>
      </c>
      <c r="B643" s="50">
        <f>'VaR Model'!D643</f>
        <v>1.0302280333365562E-3</v>
      </c>
      <c r="J643" s="42">
        <f>'VaR Model'!C643</f>
        <v>45510</v>
      </c>
      <c r="K643" s="71">
        <f>'VaR Model'!D643</f>
        <v>1.0302280333365562E-3</v>
      </c>
      <c r="L643">
        <f>Backtesting!D643</f>
        <v>0</v>
      </c>
      <c r="M643" s="7">
        <f>Backtesting!F643</f>
        <v>0</v>
      </c>
    </row>
    <row r="644" spans="1:13" x14ac:dyDescent="0.35">
      <c r="A644" s="42">
        <f>'VaR Model'!C644</f>
        <v>45511</v>
      </c>
      <c r="B644" s="50">
        <f>'VaR Model'!D644</f>
        <v>1.0726261783743658E-2</v>
      </c>
      <c r="J644" s="42">
        <f>'VaR Model'!C644</f>
        <v>45511</v>
      </c>
      <c r="K644" s="71">
        <f>'VaR Model'!D644</f>
        <v>1.0726261783743658E-2</v>
      </c>
      <c r="L644">
        <f>Backtesting!D644</f>
        <v>0</v>
      </c>
      <c r="M644" s="7">
        <f>Backtesting!F644</f>
        <v>0</v>
      </c>
    </row>
    <row r="645" spans="1:13" x14ac:dyDescent="0.35">
      <c r="A645" s="42">
        <f>'VaR Model'!C645</f>
        <v>45512</v>
      </c>
      <c r="B645" s="50">
        <f>'VaR Model'!D645</f>
        <v>-9.4667028460764611E-3</v>
      </c>
      <c r="J645" s="42">
        <f>'VaR Model'!C645</f>
        <v>45512</v>
      </c>
      <c r="K645" s="71">
        <f>'VaR Model'!D645</f>
        <v>-9.4667028460764611E-3</v>
      </c>
      <c r="L645">
        <f>Backtesting!D645</f>
        <v>0</v>
      </c>
      <c r="M645" s="7">
        <f>Backtesting!F645</f>
        <v>0</v>
      </c>
    </row>
    <row r="646" spans="1:13" x14ac:dyDescent="0.35">
      <c r="A646" s="42">
        <f>'VaR Model'!C646</f>
        <v>45513</v>
      </c>
      <c r="B646" s="50">
        <f>'VaR Model'!D646</f>
        <v>1.0925435791101702E-2</v>
      </c>
      <c r="J646" s="42">
        <f>'VaR Model'!C646</f>
        <v>45513</v>
      </c>
      <c r="K646" s="71">
        <f>'VaR Model'!D646</f>
        <v>1.0925435791101702E-2</v>
      </c>
      <c r="L646">
        <f>Backtesting!D646</f>
        <v>0</v>
      </c>
      <c r="M646" s="7">
        <f>Backtesting!F646</f>
        <v>0</v>
      </c>
    </row>
    <row r="647" spans="1:13" x14ac:dyDescent="0.35">
      <c r="A647" s="42">
        <f>'VaR Model'!C647</f>
        <v>45516</v>
      </c>
      <c r="B647" s="50">
        <f>'VaR Model'!D647</f>
        <v>-7.6744582104907363E-4</v>
      </c>
      <c r="J647" s="42">
        <f>'VaR Model'!C647</f>
        <v>45516</v>
      </c>
      <c r="K647" s="71">
        <f>'VaR Model'!D647</f>
        <v>-7.6744582104907363E-4</v>
      </c>
      <c r="L647">
        <f>Backtesting!D647</f>
        <v>0</v>
      </c>
      <c r="M647" s="7">
        <f>Backtesting!F647</f>
        <v>0</v>
      </c>
    </row>
    <row r="648" spans="1:13" x14ac:dyDescent="0.35">
      <c r="A648" s="42">
        <f>'VaR Model'!C648</f>
        <v>45517</v>
      </c>
      <c r="B648" s="50">
        <f>'VaR Model'!D648</f>
        <v>-2.1504965515433956E-3</v>
      </c>
      <c r="J648" s="42">
        <f>'VaR Model'!C648</f>
        <v>45517</v>
      </c>
      <c r="K648" s="71">
        <f>'VaR Model'!D648</f>
        <v>-2.1504965515433956E-3</v>
      </c>
      <c r="L648">
        <f>Backtesting!D648</f>
        <v>0</v>
      </c>
      <c r="M648" s="7">
        <f>Backtesting!F648</f>
        <v>0</v>
      </c>
    </row>
    <row r="649" spans="1:13" x14ac:dyDescent="0.35">
      <c r="A649" s="42">
        <f>'VaR Model'!C649</f>
        <v>45518</v>
      </c>
      <c r="B649" s="50">
        <f>'VaR Model'!D649</f>
        <v>6.9824818024396126E-3</v>
      </c>
      <c r="J649" s="42">
        <f>'VaR Model'!C649</f>
        <v>45518</v>
      </c>
      <c r="K649" s="71">
        <f>'VaR Model'!D649</f>
        <v>6.9824818024396126E-3</v>
      </c>
      <c r="L649">
        <f>Backtesting!D649</f>
        <v>0</v>
      </c>
      <c r="M649" s="7">
        <f>Backtesting!F649</f>
        <v>0</v>
      </c>
    </row>
    <row r="650" spans="1:13" x14ac:dyDescent="0.35">
      <c r="A650" s="42">
        <f>'VaR Model'!C650</f>
        <v>45520</v>
      </c>
      <c r="B650" s="50">
        <f>'VaR Model'!D650</f>
        <v>2.0208863869671016E-2</v>
      </c>
      <c r="J650" s="42">
        <f>'VaR Model'!C650</f>
        <v>45520</v>
      </c>
      <c r="K650" s="71">
        <f>'VaR Model'!D650</f>
        <v>2.0208863869671016E-2</v>
      </c>
      <c r="L650">
        <f>Backtesting!D650</f>
        <v>0</v>
      </c>
      <c r="M650" s="7">
        <f>Backtesting!F650</f>
        <v>0</v>
      </c>
    </row>
    <row r="651" spans="1:13" x14ac:dyDescent="0.35">
      <c r="A651" s="42">
        <f>'VaR Model'!C651</f>
        <v>45523</v>
      </c>
      <c r="B651" s="50">
        <f>'VaR Model'!D651</f>
        <v>2.9281064928700488E-3</v>
      </c>
      <c r="J651" s="42">
        <f>'VaR Model'!C651</f>
        <v>45523</v>
      </c>
      <c r="K651" s="71">
        <f>'VaR Model'!D651</f>
        <v>2.9281064928700488E-3</v>
      </c>
      <c r="L651">
        <f>Backtesting!D651</f>
        <v>0</v>
      </c>
      <c r="M651" s="7">
        <f>Backtesting!F651</f>
        <v>0</v>
      </c>
    </row>
    <row r="652" spans="1:13" x14ac:dyDescent="0.35">
      <c r="A652" s="42">
        <f>'VaR Model'!C652</f>
        <v>45524</v>
      </c>
      <c r="B652" s="50">
        <f>'VaR Model'!D652</f>
        <v>2.82370127566725E-3</v>
      </c>
      <c r="J652" s="42">
        <f>'VaR Model'!C652</f>
        <v>45524</v>
      </c>
      <c r="K652" s="71">
        <f>'VaR Model'!D652</f>
        <v>2.82370127566725E-3</v>
      </c>
      <c r="L652">
        <f>Backtesting!D652</f>
        <v>0</v>
      </c>
      <c r="M652" s="7">
        <f>Backtesting!F652</f>
        <v>0</v>
      </c>
    </row>
    <row r="653" spans="1:13" x14ac:dyDescent="0.35">
      <c r="A653" s="42">
        <f>'VaR Model'!C653</f>
        <v>45525</v>
      </c>
      <c r="B653" s="50">
        <f>'VaR Model'!D653</f>
        <v>3.5069772704489867E-3</v>
      </c>
      <c r="J653" s="42">
        <f>'VaR Model'!C653</f>
        <v>45525</v>
      </c>
      <c r="K653" s="71">
        <f>'VaR Model'!D653</f>
        <v>3.5069772704489867E-3</v>
      </c>
      <c r="L653">
        <f>Backtesting!D653</f>
        <v>0</v>
      </c>
      <c r="M653" s="7">
        <f>Backtesting!F653</f>
        <v>0</v>
      </c>
    </row>
    <row r="654" spans="1:13" x14ac:dyDescent="0.35">
      <c r="A654" s="42">
        <f>'VaR Model'!C654</f>
        <v>45526</v>
      </c>
      <c r="B654" s="50">
        <f>'VaR Model'!D654</f>
        <v>9.566913910785418E-4</v>
      </c>
      <c r="J654" s="42">
        <f>'VaR Model'!C654</f>
        <v>45526</v>
      </c>
      <c r="K654" s="71">
        <f>'VaR Model'!D654</f>
        <v>9.566913910785418E-4</v>
      </c>
      <c r="L654">
        <f>Backtesting!D654</f>
        <v>0</v>
      </c>
      <c r="M654" s="7">
        <f>Backtesting!F654</f>
        <v>0</v>
      </c>
    </row>
    <row r="655" spans="1:13" x14ac:dyDescent="0.35">
      <c r="A655" s="42">
        <f>'VaR Model'!C655</f>
        <v>45527</v>
      </c>
      <c r="B655" s="50">
        <f>'VaR Model'!D655</f>
        <v>-8.2909462274738247E-4</v>
      </c>
      <c r="J655" s="42">
        <f>'VaR Model'!C655</f>
        <v>45527</v>
      </c>
      <c r="K655" s="71">
        <f>'VaR Model'!D655</f>
        <v>-8.2909462274738247E-4</v>
      </c>
      <c r="L655">
        <f>Backtesting!D655</f>
        <v>0</v>
      </c>
      <c r="M655" s="7">
        <f>Backtesting!F655</f>
        <v>0</v>
      </c>
    </row>
    <row r="656" spans="1:13" x14ac:dyDescent="0.35">
      <c r="A656" s="42">
        <f>'VaR Model'!C656</f>
        <v>45530</v>
      </c>
      <c r="B656" s="50">
        <f>'VaR Model'!D656</f>
        <v>6.4845080556071273E-3</v>
      </c>
      <c r="J656" s="42">
        <f>'VaR Model'!C656</f>
        <v>45530</v>
      </c>
      <c r="K656" s="71">
        <f>'VaR Model'!D656</f>
        <v>6.4845080556071273E-3</v>
      </c>
      <c r="L656">
        <f>Backtesting!D656</f>
        <v>0</v>
      </c>
      <c r="M656" s="7">
        <f>Backtesting!F656</f>
        <v>0</v>
      </c>
    </row>
    <row r="657" spans="1:13" x14ac:dyDescent="0.35">
      <c r="A657" s="42">
        <f>'VaR Model'!C657</f>
        <v>45531</v>
      </c>
      <c r="B657" s="50">
        <f>'VaR Model'!D657</f>
        <v>7.985624613248408E-4</v>
      </c>
      <c r="J657" s="42">
        <f>'VaR Model'!C657</f>
        <v>45531</v>
      </c>
      <c r="K657" s="71">
        <f>'VaR Model'!D657</f>
        <v>7.985624613248408E-4</v>
      </c>
      <c r="L657">
        <f>Backtesting!D657</f>
        <v>0</v>
      </c>
      <c r="M657" s="7">
        <f>Backtesting!F657</f>
        <v>0</v>
      </c>
    </row>
    <row r="658" spans="1:13" x14ac:dyDescent="0.35">
      <c r="A658" s="42">
        <f>'VaR Model'!C658</f>
        <v>45532</v>
      </c>
      <c r="B658" s="50">
        <f>'VaR Model'!D658</f>
        <v>2.4419743969262596E-3</v>
      </c>
      <c r="J658" s="42">
        <f>'VaR Model'!C658</f>
        <v>45532</v>
      </c>
      <c r="K658" s="71">
        <f>'VaR Model'!D658</f>
        <v>2.4419743969262596E-3</v>
      </c>
      <c r="L658">
        <f>Backtesting!D658</f>
        <v>0</v>
      </c>
      <c r="M658" s="7">
        <f>Backtesting!F658</f>
        <v>0</v>
      </c>
    </row>
    <row r="659" spans="1:13" x14ac:dyDescent="0.35">
      <c r="A659" s="42">
        <f>'VaR Model'!C659</f>
        <v>45533</v>
      </c>
      <c r="B659" s="50">
        <f>'VaR Model'!D659</f>
        <v>5.4534284320307547E-3</v>
      </c>
      <c r="J659" s="42">
        <f>'VaR Model'!C659</f>
        <v>45533</v>
      </c>
      <c r="K659" s="71">
        <f>'VaR Model'!D659</f>
        <v>5.4534284320307547E-3</v>
      </c>
      <c r="L659">
        <f>Backtesting!D659</f>
        <v>0</v>
      </c>
      <c r="M659" s="7">
        <f>Backtesting!F659</f>
        <v>0</v>
      </c>
    </row>
    <row r="660" spans="1:13" x14ac:dyDescent="0.35">
      <c r="A660" s="42">
        <f>'VaR Model'!C660</f>
        <v>45534</v>
      </c>
      <c r="B660" s="50">
        <f>'VaR Model'!D660</f>
        <v>1.3463545538679449E-3</v>
      </c>
      <c r="J660" s="42">
        <f>'VaR Model'!C660</f>
        <v>45534</v>
      </c>
      <c r="K660" s="71">
        <f>'VaR Model'!D660</f>
        <v>1.3463545538679449E-3</v>
      </c>
      <c r="L660">
        <f>Backtesting!D660</f>
        <v>0</v>
      </c>
      <c r="M660" s="7">
        <f>Backtesting!F660</f>
        <v>0</v>
      </c>
    </row>
    <row r="661" spans="1:13" x14ac:dyDescent="0.35">
      <c r="A661" s="42">
        <f>'VaR Model'!C661</f>
        <v>45537</v>
      </c>
      <c r="B661" s="50">
        <f>'VaR Model'!D661</f>
        <v>4.9062257934820675E-3</v>
      </c>
      <c r="J661" s="42">
        <f>'VaR Model'!C661</f>
        <v>45537</v>
      </c>
      <c r="K661" s="71">
        <f>'VaR Model'!D661</f>
        <v>4.9062257934820675E-3</v>
      </c>
      <c r="L661">
        <f>Backtesting!D661</f>
        <v>0</v>
      </c>
      <c r="M661" s="7">
        <f>Backtesting!F661</f>
        <v>0</v>
      </c>
    </row>
    <row r="662" spans="1:13" x14ac:dyDescent="0.35">
      <c r="A662" s="42">
        <f>'VaR Model'!C662</f>
        <v>45538</v>
      </c>
      <c r="B662" s="50">
        <f>'VaR Model'!D662</f>
        <v>-1.0950779268231936E-3</v>
      </c>
      <c r="J662" s="42">
        <f>'VaR Model'!C662</f>
        <v>45538</v>
      </c>
      <c r="K662" s="71">
        <f>'VaR Model'!D662</f>
        <v>-1.0950779268231936E-3</v>
      </c>
      <c r="L662">
        <f>Backtesting!D662</f>
        <v>0</v>
      </c>
      <c r="M662" s="7">
        <f>Backtesting!F662</f>
        <v>0</v>
      </c>
    </row>
    <row r="663" spans="1:13" x14ac:dyDescent="0.35">
      <c r="A663" s="42">
        <f>'VaR Model'!C663</f>
        <v>45539</v>
      </c>
      <c r="B663" s="50">
        <f>'VaR Model'!D663</f>
        <v>-5.7325235864402373E-3</v>
      </c>
      <c r="J663" s="42">
        <f>'VaR Model'!C663</f>
        <v>45539</v>
      </c>
      <c r="K663" s="71">
        <f>'VaR Model'!D663</f>
        <v>-5.7325235864402373E-3</v>
      </c>
      <c r="L663">
        <f>Backtesting!D663</f>
        <v>0</v>
      </c>
      <c r="M663" s="7">
        <f>Backtesting!F663</f>
        <v>0</v>
      </c>
    </row>
    <row r="664" spans="1:13" x14ac:dyDescent="0.35">
      <c r="A664" s="42">
        <f>'VaR Model'!C664</f>
        <v>45540</v>
      </c>
      <c r="B664" s="50">
        <f>'VaR Model'!D664</f>
        <v>-6.4900122709483964E-5</v>
      </c>
      <c r="J664" s="42">
        <f>'VaR Model'!C664</f>
        <v>45540</v>
      </c>
      <c r="K664" s="71">
        <f>'VaR Model'!D664</f>
        <v>-6.4900122709483964E-5</v>
      </c>
      <c r="L664">
        <f>Backtesting!D664</f>
        <v>0</v>
      </c>
      <c r="M664" s="7">
        <f>Backtesting!F664</f>
        <v>0</v>
      </c>
    </row>
    <row r="665" spans="1:13" x14ac:dyDescent="0.35">
      <c r="A665" s="42">
        <f>'VaR Model'!C665</f>
        <v>45541</v>
      </c>
      <c r="B665" s="50">
        <f>'VaR Model'!D665</f>
        <v>-1.623438425771976E-2</v>
      </c>
      <c r="J665" s="42">
        <f>'VaR Model'!C665</f>
        <v>45541</v>
      </c>
      <c r="K665" s="71">
        <f>'VaR Model'!D665</f>
        <v>-1.623438425771976E-2</v>
      </c>
      <c r="L665">
        <f>Backtesting!D665</f>
        <v>0</v>
      </c>
      <c r="M665" s="7">
        <f>Backtesting!F665</f>
        <v>1</v>
      </c>
    </row>
    <row r="666" spans="1:13" x14ac:dyDescent="0.35">
      <c r="A666" s="42">
        <f>'VaR Model'!C666</f>
        <v>45544</v>
      </c>
      <c r="B666" s="50">
        <f>'VaR Model'!D666</f>
        <v>6.9582080301929979E-3</v>
      </c>
      <c r="J666" s="42">
        <f>'VaR Model'!C666</f>
        <v>45544</v>
      </c>
      <c r="K666" s="71">
        <f>'VaR Model'!D666</f>
        <v>6.9582080301929979E-3</v>
      </c>
      <c r="L666">
        <f>Backtesting!D666</f>
        <v>0</v>
      </c>
      <c r="M666" s="7">
        <f>Backtesting!F666</f>
        <v>0</v>
      </c>
    </row>
    <row r="667" spans="1:13" x14ac:dyDescent="0.35">
      <c r="A667" s="42">
        <f>'VaR Model'!C667</f>
        <v>45545</v>
      </c>
      <c r="B667" s="50">
        <f>'VaR Model'!D667</f>
        <v>5.4259121119350773E-3</v>
      </c>
      <c r="J667" s="42">
        <f>'VaR Model'!C667</f>
        <v>45545</v>
      </c>
      <c r="K667" s="71">
        <f>'VaR Model'!D667</f>
        <v>5.4259121119350773E-3</v>
      </c>
      <c r="L667">
        <f>Backtesting!D667</f>
        <v>0</v>
      </c>
      <c r="M667" s="7">
        <f>Backtesting!F667</f>
        <v>0</v>
      </c>
    </row>
    <row r="668" spans="1:13" x14ac:dyDescent="0.35">
      <c r="A668" s="42">
        <f>'VaR Model'!C668</f>
        <v>45546</v>
      </c>
      <c r="B668" s="50">
        <f>'VaR Model'!D668</f>
        <v>-2.732300366389774E-3</v>
      </c>
      <c r="J668" s="42">
        <f>'VaR Model'!C668</f>
        <v>45546</v>
      </c>
      <c r="K668" s="71">
        <f>'VaR Model'!D668</f>
        <v>-2.732300366389774E-3</v>
      </c>
      <c r="L668">
        <f>Backtesting!D668</f>
        <v>0</v>
      </c>
      <c r="M668" s="7">
        <f>Backtesting!F668</f>
        <v>0</v>
      </c>
    </row>
    <row r="669" spans="1:13" x14ac:dyDescent="0.35">
      <c r="A669" s="42">
        <f>'VaR Model'!C669</f>
        <v>45547</v>
      </c>
      <c r="B669" s="50">
        <f>'VaR Model'!D669</f>
        <v>1.4274061946715391E-2</v>
      </c>
      <c r="J669" s="42">
        <f>'VaR Model'!C669</f>
        <v>45547</v>
      </c>
      <c r="K669" s="71">
        <f>'VaR Model'!D669</f>
        <v>1.4274061946715391E-2</v>
      </c>
      <c r="L669">
        <f>Backtesting!D669</f>
        <v>0</v>
      </c>
      <c r="M669" s="7">
        <f>Backtesting!F669</f>
        <v>0</v>
      </c>
    </row>
    <row r="670" spans="1:13" x14ac:dyDescent="0.35">
      <c r="A670" s="42">
        <f>'VaR Model'!C670</f>
        <v>45548</v>
      </c>
      <c r="B670" s="50">
        <f>'VaR Model'!D670</f>
        <v>-3.8795583609883368E-3</v>
      </c>
      <c r="J670" s="42">
        <f>'VaR Model'!C670</f>
        <v>45548</v>
      </c>
      <c r="K670" s="71">
        <f>'VaR Model'!D670</f>
        <v>-3.8795583609883368E-3</v>
      </c>
      <c r="L670">
        <f>Backtesting!D670</f>
        <v>0</v>
      </c>
      <c r="M670" s="7">
        <f>Backtesting!F670</f>
        <v>0</v>
      </c>
    </row>
    <row r="671" spans="1:13" x14ac:dyDescent="0.35">
      <c r="A671" s="42">
        <f>'VaR Model'!C671</f>
        <v>45551</v>
      </c>
      <c r="B671" s="50">
        <f>'VaR Model'!D671</f>
        <v>9.6078784047258308E-4</v>
      </c>
      <c r="J671" s="42">
        <f>'VaR Model'!C671</f>
        <v>45551</v>
      </c>
      <c r="K671" s="71">
        <f>'VaR Model'!D671</f>
        <v>9.6078784047258308E-4</v>
      </c>
      <c r="L671">
        <f>Backtesting!D671</f>
        <v>0</v>
      </c>
      <c r="M671" s="7">
        <f>Backtesting!F671</f>
        <v>0</v>
      </c>
    </row>
    <row r="672" spans="1:13" x14ac:dyDescent="0.35">
      <c r="A672" s="42">
        <f>'VaR Model'!C672</f>
        <v>45552</v>
      </c>
      <c r="B672" s="50">
        <f>'VaR Model'!D672</f>
        <v>-4.5808333530006492E-4</v>
      </c>
      <c r="J672" s="42">
        <f>'VaR Model'!C672</f>
        <v>45552</v>
      </c>
      <c r="K672" s="71">
        <f>'VaR Model'!D672</f>
        <v>-4.5808333530006492E-4</v>
      </c>
      <c r="L672">
        <f>Backtesting!D672</f>
        <v>0</v>
      </c>
      <c r="M672" s="7">
        <f>Backtesting!F672</f>
        <v>0</v>
      </c>
    </row>
    <row r="673" spans="1:13" x14ac:dyDescent="0.35">
      <c r="A673" s="42">
        <f>'VaR Model'!C673</f>
        <v>45553</v>
      </c>
      <c r="B673" s="50">
        <f>'VaR Model'!D673</f>
        <v>-1.1688435944100663E-2</v>
      </c>
      <c r="J673" s="42">
        <f>'VaR Model'!C673</f>
        <v>45553</v>
      </c>
      <c r="K673" s="71">
        <f>'VaR Model'!D673</f>
        <v>-1.1688435944100663E-2</v>
      </c>
      <c r="L673">
        <f>Backtesting!D673</f>
        <v>0</v>
      </c>
      <c r="M673" s="7">
        <f>Backtesting!F673</f>
        <v>0</v>
      </c>
    </row>
    <row r="674" spans="1:13" x14ac:dyDescent="0.35">
      <c r="A674" s="42">
        <f>'VaR Model'!C674</f>
        <v>45554</v>
      </c>
      <c r="B674" s="50">
        <f>'VaR Model'!D674</f>
        <v>-3.2835352641091326E-4</v>
      </c>
      <c r="J674" s="42">
        <f>'VaR Model'!C674</f>
        <v>45554</v>
      </c>
      <c r="K674" s="71">
        <f>'VaR Model'!D674</f>
        <v>-3.2835352641091326E-4</v>
      </c>
      <c r="L674">
        <f>Backtesting!D674</f>
        <v>0</v>
      </c>
      <c r="M674" s="7">
        <f>Backtesting!F674</f>
        <v>0</v>
      </c>
    </row>
    <row r="675" spans="1:13" x14ac:dyDescent="0.35">
      <c r="A675" s="42">
        <f>'VaR Model'!C675</f>
        <v>45555</v>
      </c>
      <c r="B675" s="50">
        <f>'VaR Model'!D675</f>
        <v>1.2361171680570753E-2</v>
      </c>
      <c r="J675" s="42">
        <f>'VaR Model'!C675</f>
        <v>45555</v>
      </c>
      <c r="K675" s="71">
        <f>'VaR Model'!D675</f>
        <v>1.2361171680570753E-2</v>
      </c>
      <c r="L675">
        <f>Backtesting!D675</f>
        <v>0</v>
      </c>
      <c r="M675" s="7">
        <f>Backtesting!F675</f>
        <v>0</v>
      </c>
    </row>
    <row r="676" spans="1:13" x14ac:dyDescent="0.35">
      <c r="A676" s="42">
        <f>'VaR Model'!C676</f>
        <v>45558</v>
      </c>
      <c r="B676" s="50">
        <f>'VaR Model'!D676</f>
        <v>-2.2454821114173875E-3</v>
      </c>
      <c r="J676" s="42">
        <f>'VaR Model'!C676</f>
        <v>45558</v>
      </c>
      <c r="K676" s="71">
        <f>'VaR Model'!D676</f>
        <v>-2.2454821114173875E-3</v>
      </c>
      <c r="L676">
        <f>Backtesting!D676</f>
        <v>0</v>
      </c>
      <c r="M676" s="7">
        <f>Backtesting!F676</f>
        <v>0</v>
      </c>
    </row>
    <row r="677" spans="1:13" x14ac:dyDescent="0.35">
      <c r="A677" s="42">
        <f>'VaR Model'!C677</f>
        <v>45559</v>
      </c>
      <c r="B677" s="50">
        <f>'VaR Model'!D677</f>
        <v>-1.3380792854779579E-3</v>
      </c>
      <c r="J677" s="42">
        <f>'VaR Model'!C677</f>
        <v>45559</v>
      </c>
      <c r="K677" s="71">
        <f>'VaR Model'!D677</f>
        <v>-1.3380792854779579E-3</v>
      </c>
      <c r="L677">
        <f>Backtesting!D677</f>
        <v>0</v>
      </c>
      <c r="M677" s="7">
        <f>Backtesting!F677</f>
        <v>0</v>
      </c>
    </row>
    <row r="678" spans="1:13" x14ac:dyDescent="0.35">
      <c r="A678" s="42">
        <f>'VaR Model'!C678</f>
        <v>45560</v>
      </c>
      <c r="B678" s="50">
        <f>'VaR Model'!D678</f>
        <v>2.1135008475322704E-3</v>
      </c>
      <c r="J678" s="42">
        <f>'VaR Model'!C678</f>
        <v>45560</v>
      </c>
      <c r="K678" s="71">
        <f>'VaR Model'!D678</f>
        <v>2.1135008475322704E-3</v>
      </c>
      <c r="L678">
        <f>Backtesting!D678</f>
        <v>0</v>
      </c>
      <c r="M678" s="7">
        <f>Backtesting!F678</f>
        <v>0</v>
      </c>
    </row>
    <row r="679" spans="1:13" x14ac:dyDescent="0.35">
      <c r="A679" s="42">
        <f>'VaR Model'!C679</f>
        <v>45561</v>
      </c>
      <c r="B679" s="50">
        <f>'VaR Model'!D679</f>
        <v>4.6689606993820902E-3</v>
      </c>
      <c r="J679" s="42">
        <f>'VaR Model'!C679</f>
        <v>45561</v>
      </c>
      <c r="K679" s="71">
        <f>'VaR Model'!D679</f>
        <v>4.6689606993820902E-3</v>
      </c>
      <c r="L679">
        <f>Backtesting!D679</f>
        <v>0</v>
      </c>
      <c r="M679" s="7">
        <f>Backtesting!F679</f>
        <v>0</v>
      </c>
    </row>
    <row r="680" spans="1:13" x14ac:dyDescent="0.35">
      <c r="A680" s="42">
        <f>'VaR Model'!C680</f>
        <v>45562</v>
      </c>
      <c r="B680" s="50">
        <f>'VaR Model'!D680</f>
        <v>1.7429783714802633E-3</v>
      </c>
      <c r="J680" s="42">
        <f>'VaR Model'!C680</f>
        <v>45562</v>
      </c>
      <c r="K680" s="71">
        <f>'VaR Model'!D680</f>
        <v>1.7429783714802633E-3</v>
      </c>
      <c r="L680">
        <f>Backtesting!D680</f>
        <v>0</v>
      </c>
      <c r="M680" s="7">
        <f>Backtesting!F680</f>
        <v>0</v>
      </c>
    </row>
    <row r="681" spans="1:13" x14ac:dyDescent="0.35">
      <c r="A681" s="42">
        <f>'VaR Model'!C681</f>
        <v>45565</v>
      </c>
      <c r="B681" s="50">
        <f>'VaR Model'!D681</f>
        <v>-1.8735496062762813E-2</v>
      </c>
      <c r="J681" s="42">
        <f>'VaR Model'!C681</f>
        <v>45565</v>
      </c>
      <c r="K681" s="71">
        <f>'VaR Model'!D681</f>
        <v>-1.8735496062762813E-2</v>
      </c>
      <c r="L681">
        <f>Backtesting!D681</f>
        <v>0</v>
      </c>
      <c r="M681" s="7">
        <f>Backtesting!F681</f>
        <v>1</v>
      </c>
    </row>
    <row r="682" spans="1:13" x14ac:dyDescent="0.35">
      <c r="A682" s="42">
        <f>'VaR Model'!C682</f>
        <v>45566</v>
      </c>
      <c r="B682" s="50">
        <f>'VaR Model'!D682</f>
        <v>1.8150387420108002E-3</v>
      </c>
      <c r="J682" s="42">
        <f>'VaR Model'!C682</f>
        <v>45566</v>
      </c>
      <c r="K682" s="71">
        <f>'VaR Model'!D682</f>
        <v>1.8150387420108002E-3</v>
      </c>
      <c r="L682">
        <f>Backtesting!D682</f>
        <v>0</v>
      </c>
      <c r="M682" s="7">
        <f>Backtesting!F682</f>
        <v>0</v>
      </c>
    </row>
    <row r="683" spans="1:13" x14ac:dyDescent="0.35">
      <c r="A683" s="42">
        <f>'VaR Model'!C683</f>
        <v>45568</v>
      </c>
      <c r="B683" s="50">
        <f>'VaR Model'!D683</f>
        <v>-1.5993737463578399E-2</v>
      </c>
      <c r="J683" s="42">
        <f>'VaR Model'!C683</f>
        <v>45568</v>
      </c>
      <c r="K683" s="71">
        <f>'VaR Model'!D683</f>
        <v>-1.5993737463578399E-2</v>
      </c>
      <c r="L683">
        <f>Backtesting!D683</f>
        <v>0</v>
      </c>
      <c r="M683" s="7">
        <f>Backtesting!F683</f>
        <v>1</v>
      </c>
    </row>
    <row r="684" spans="1:13" x14ac:dyDescent="0.35">
      <c r="A684" s="42">
        <f>'VaR Model'!C684</f>
        <v>45569</v>
      </c>
      <c r="B684" s="50">
        <f>'VaR Model'!D684</f>
        <v>-5.6942275852589971E-3</v>
      </c>
      <c r="J684" s="42">
        <f>'VaR Model'!C684</f>
        <v>45569</v>
      </c>
      <c r="K684" s="71">
        <f>'VaR Model'!D684</f>
        <v>-5.6942275852589971E-3</v>
      </c>
      <c r="L684">
        <f>Backtesting!D684</f>
        <v>0</v>
      </c>
      <c r="M684" s="7">
        <f>Backtesting!F684</f>
        <v>0</v>
      </c>
    </row>
    <row r="685" spans="1:13" x14ac:dyDescent="0.35">
      <c r="A685" s="42">
        <f>'VaR Model'!C685</f>
        <v>45572</v>
      </c>
      <c r="B685" s="50">
        <f>'VaR Model'!D685</f>
        <v>2.0315574379650026E-3</v>
      </c>
      <c r="J685" s="42">
        <f>'VaR Model'!C685</f>
        <v>45572</v>
      </c>
      <c r="K685" s="71">
        <f>'VaR Model'!D685</f>
        <v>2.0315574379650026E-3</v>
      </c>
      <c r="L685">
        <f>Backtesting!D685</f>
        <v>0</v>
      </c>
      <c r="M685" s="7">
        <f>Backtesting!F685</f>
        <v>0</v>
      </c>
    </row>
    <row r="686" spans="1:13" x14ac:dyDescent="0.35">
      <c r="A686" s="42">
        <f>'VaR Model'!C686</f>
        <v>45573</v>
      </c>
      <c r="B686" s="50">
        <f>'VaR Model'!D686</f>
        <v>3.949353225424705E-3</v>
      </c>
      <c r="J686" s="42">
        <f>'VaR Model'!C686</f>
        <v>45573</v>
      </c>
      <c r="K686" s="71">
        <f>'VaR Model'!D686</f>
        <v>3.949353225424705E-3</v>
      </c>
      <c r="L686">
        <f>Backtesting!D686</f>
        <v>0</v>
      </c>
      <c r="M686" s="7">
        <f>Backtesting!F686</f>
        <v>0</v>
      </c>
    </row>
    <row r="687" spans="1:13" x14ac:dyDescent="0.35">
      <c r="A687" s="42">
        <f>'VaR Model'!C687</f>
        <v>45574</v>
      </c>
      <c r="B687" s="50">
        <f>'VaR Model'!D687</f>
        <v>-8.1550106180899133E-3</v>
      </c>
      <c r="J687" s="42">
        <f>'VaR Model'!C687</f>
        <v>45574</v>
      </c>
      <c r="K687" s="71">
        <f>'VaR Model'!D687</f>
        <v>-8.1550106180899133E-3</v>
      </c>
      <c r="L687">
        <f>Backtesting!D687</f>
        <v>0</v>
      </c>
      <c r="M687" s="7">
        <f>Backtesting!F687</f>
        <v>0</v>
      </c>
    </row>
    <row r="688" spans="1:13" x14ac:dyDescent="0.35">
      <c r="A688" s="42">
        <f>'VaR Model'!C688</f>
        <v>45575</v>
      </c>
      <c r="B688" s="50">
        <f>'VaR Model'!D688</f>
        <v>-5.1675886078808792E-3</v>
      </c>
      <c r="J688" s="42">
        <f>'VaR Model'!C688</f>
        <v>45575</v>
      </c>
      <c r="K688" s="71">
        <f>'VaR Model'!D688</f>
        <v>-5.1675886078808792E-3</v>
      </c>
      <c r="L688">
        <f>Backtesting!D688</f>
        <v>0</v>
      </c>
      <c r="M688" s="7">
        <f>Backtesting!F688</f>
        <v>0</v>
      </c>
    </row>
    <row r="689" spans="1:13" x14ac:dyDescent="0.35">
      <c r="A689" s="42">
        <f>'VaR Model'!C689</f>
        <v>45576</v>
      </c>
      <c r="B689" s="50">
        <f>'VaR Model'!D689</f>
        <v>-6.809300459765617E-3</v>
      </c>
      <c r="J689" s="42">
        <f>'VaR Model'!C689</f>
        <v>45576</v>
      </c>
      <c r="K689" s="71">
        <f>'VaR Model'!D689</f>
        <v>-6.809300459765617E-3</v>
      </c>
      <c r="L689">
        <f>Backtesting!D689</f>
        <v>0</v>
      </c>
      <c r="M689" s="7">
        <f>Backtesting!F689</f>
        <v>0</v>
      </c>
    </row>
    <row r="690" spans="1:13" x14ac:dyDescent="0.35">
      <c r="A690" s="42">
        <f>'VaR Model'!C690</f>
        <v>45579</v>
      </c>
      <c r="B690" s="50">
        <f>'VaR Model'!D690</f>
        <v>6.8813397640381793E-3</v>
      </c>
      <c r="J690" s="42">
        <f>'VaR Model'!C690</f>
        <v>45579</v>
      </c>
      <c r="K690" s="71">
        <f>'VaR Model'!D690</f>
        <v>6.8813397640381793E-3</v>
      </c>
      <c r="L690">
        <f>Backtesting!D690</f>
        <v>0</v>
      </c>
      <c r="M690" s="7">
        <f>Backtesting!F690</f>
        <v>0</v>
      </c>
    </row>
    <row r="691" spans="1:13" x14ac:dyDescent="0.35">
      <c r="A691" s="42">
        <f>'VaR Model'!C691</f>
        <v>45580</v>
      </c>
      <c r="B691" s="50">
        <f>'VaR Model'!D691</f>
        <v>-6.5263075741706675E-4</v>
      </c>
      <c r="J691" s="42">
        <f>'VaR Model'!C691</f>
        <v>45580</v>
      </c>
      <c r="K691" s="71">
        <f>'VaR Model'!D691</f>
        <v>-6.5263075741706675E-4</v>
      </c>
      <c r="L691">
        <f>Backtesting!D691</f>
        <v>0</v>
      </c>
      <c r="M691" s="7">
        <f>Backtesting!F691</f>
        <v>0</v>
      </c>
    </row>
    <row r="692" spans="1:13" x14ac:dyDescent="0.35">
      <c r="A692" s="42">
        <f>'VaR Model'!C692</f>
        <v>45581</v>
      </c>
      <c r="B692" s="50">
        <f>'VaR Model'!D692</f>
        <v>-7.756536806331411E-3</v>
      </c>
      <c r="J692" s="42">
        <f>'VaR Model'!C692</f>
        <v>45581</v>
      </c>
      <c r="K692" s="71">
        <f>'VaR Model'!D692</f>
        <v>-7.756536806331411E-3</v>
      </c>
      <c r="L692">
        <f>Backtesting!D692</f>
        <v>0</v>
      </c>
      <c r="M692" s="7">
        <f>Backtesting!F692</f>
        <v>0</v>
      </c>
    </row>
    <row r="693" spans="1:13" x14ac:dyDescent="0.35">
      <c r="A693" s="42">
        <f>'VaR Model'!C693</f>
        <v>45582</v>
      </c>
      <c r="B693" s="50">
        <f>'VaR Model'!D693</f>
        <v>2.2998899549320885E-3</v>
      </c>
      <c r="J693" s="42">
        <f>'VaR Model'!C693</f>
        <v>45582</v>
      </c>
      <c r="K693" s="71">
        <f>'VaR Model'!D693</f>
        <v>2.2998899549320885E-3</v>
      </c>
      <c r="L693">
        <f>Backtesting!D693</f>
        <v>0</v>
      </c>
      <c r="M693" s="7">
        <f>Backtesting!F693</f>
        <v>0</v>
      </c>
    </row>
    <row r="694" spans="1:13" x14ac:dyDescent="0.35">
      <c r="A694" s="42">
        <f>'VaR Model'!C694</f>
        <v>45583</v>
      </c>
      <c r="B694" s="50">
        <f>'VaR Model'!D694</f>
        <v>-3.6729413239878846E-3</v>
      </c>
      <c r="J694" s="42">
        <f>'VaR Model'!C694</f>
        <v>45583</v>
      </c>
      <c r="K694" s="71">
        <f>'VaR Model'!D694</f>
        <v>-3.6729413239878846E-3</v>
      </c>
      <c r="L694">
        <f>Backtesting!D694</f>
        <v>0</v>
      </c>
      <c r="M694" s="7">
        <f>Backtesting!F694</f>
        <v>0</v>
      </c>
    </row>
    <row r="695" spans="1:13" x14ac:dyDescent="0.35">
      <c r="A695" s="42">
        <f>'VaR Model'!C695</f>
        <v>45586</v>
      </c>
      <c r="B695" s="50">
        <f>'VaR Model'!D695</f>
        <v>-5.6516560779519484E-3</v>
      </c>
      <c r="J695" s="42">
        <f>'VaR Model'!C695</f>
        <v>45586</v>
      </c>
      <c r="K695" s="71">
        <f>'VaR Model'!D695</f>
        <v>-5.6516560779519484E-3</v>
      </c>
      <c r="L695">
        <f>Backtesting!D695</f>
        <v>0</v>
      </c>
      <c r="M695" s="7">
        <f>Backtesting!F695</f>
        <v>0</v>
      </c>
    </row>
    <row r="696" spans="1:13" x14ac:dyDescent="0.35">
      <c r="A696" s="42">
        <f>'VaR Model'!C696</f>
        <v>45587</v>
      </c>
      <c r="B696" s="50">
        <f>'VaR Model'!D696</f>
        <v>-6.544504577572898E-3</v>
      </c>
      <c r="J696" s="42">
        <f>'VaR Model'!C696</f>
        <v>45587</v>
      </c>
      <c r="K696" s="71">
        <f>'VaR Model'!D696</f>
        <v>-6.544504577572898E-3</v>
      </c>
      <c r="L696">
        <f>Backtesting!D696</f>
        <v>0</v>
      </c>
      <c r="M696" s="7">
        <f>Backtesting!F696</f>
        <v>0</v>
      </c>
    </row>
    <row r="697" spans="1:13" x14ac:dyDescent="0.35">
      <c r="A697" s="42">
        <f>'VaR Model'!C697</f>
        <v>45588</v>
      </c>
      <c r="B697" s="50">
        <f>'VaR Model'!D697</f>
        <v>1.00712804403201E-3</v>
      </c>
      <c r="J697" s="42">
        <f>'VaR Model'!C697</f>
        <v>45588</v>
      </c>
      <c r="K697" s="71">
        <f>'VaR Model'!D697</f>
        <v>1.00712804403201E-3</v>
      </c>
      <c r="L697">
        <f>Backtesting!D697</f>
        <v>0</v>
      </c>
      <c r="M697" s="7">
        <f>Backtesting!F697</f>
        <v>0</v>
      </c>
    </row>
    <row r="698" spans="1:13" x14ac:dyDescent="0.35">
      <c r="A698" s="42">
        <f>'VaR Model'!C698</f>
        <v>45589</v>
      </c>
      <c r="B698" s="50">
        <f>'VaR Model'!D698</f>
        <v>-5.2445203144841947E-3</v>
      </c>
      <c r="J698" s="42">
        <f>'VaR Model'!C698</f>
        <v>45589</v>
      </c>
      <c r="K698" s="71">
        <f>'VaR Model'!D698</f>
        <v>-5.2445203144841947E-3</v>
      </c>
      <c r="L698">
        <f>Backtesting!D698</f>
        <v>0</v>
      </c>
      <c r="M698" s="7">
        <f>Backtesting!F698</f>
        <v>0</v>
      </c>
    </row>
    <row r="699" spans="1:13" x14ac:dyDescent="0.35">
      <c r="A699" s="42">
        <f>'VaR Model'!C699</f>
        <v>45590</v>
      </c>
      <c r="B699" s="50">
        <f>'VaR Model'!D699</f>
        <v>3.4210389353032796E-3</v>
      </c>
      <c r="J699" s="42">
        <f>'VaR Model'!C699</f>
        <v>45590</v>
      </c>
      <c r="K699" s="71">
        <f>'VaR Model'!D699</f>
        <v>3.4210389353032796E-3</v>
      </c>
      <c r="L699">
        <f>Backtesting!D699</f>
        <v>0</v>
      </c>
      <c r="M699" s="7">
        <f>Backtesting!F699</f>
        <v>0</v>
      </c>
    </row>
    <row r="700" spans="1:13" x14ac:dyDescent="0.35">
      <c r="A700" s="42">
        <f>'VaR Model'!C700</f>
        <v>45593</v>
      </c>
      <c r="B700" s="50">
        <f>'VaR Model'!D700</f>
        <v>9.6020990341220084E-3</v>
      </c>
      <c r="J700" s="42">
        <f>'VaR Model'!C700</f>
        <v>45593</v>
      </c>
      <c r="K700" s="71">
        <f>'VaR Model'!D700</f>
        <v>9.6020990341220084E-3</v>
      </c>
      <c r="L700">
        <f>Backtesting!D700</f>
        <v>0</v>
      </c>
      <c r="M700" s="7">
        <f>Backtesting!F700</f>
        <v>0</v>
      </c>
    </row>
    <row r="701" spans="1:13" x14ac:dyDescent="0.35">
      <c r="A701" s="42">
        <f>'VaR Model'!C701</f>
        <v>45594</v>
      </c>
      <c r="B701" s="50">
        <f>'VaR Model'!D701</f>
        <v>4.7780491477570275E-3</v>
      </c>
      <c r="J701" s="42">
        <f>'VaR Model'!C701</f>
        <v>45594</v>
      </c>
      <c r="K701" s="71">
        <f>'VaR Model'!D701</f>
        <v>4.7780491477570275E-3</v>
      </c>
      <c r="L701">
        <f>Backtesting!D701</f>
        <v>0</v>
      </c>
      <c r="M701" s="7">
        <f>Backtesting!F701</f>
        <v>0</v>
      </c>
    </row>
    <row r="702" spans="1:13" x14ac:dyDescent="0.35">
      <c r="A702" s="42">
        <f>'VaR Model'!C702</f>
        <v>45595</v>
      </c>
      <c r="B702" s="50">
        <f>'VaR Model'!D702</f>
        <v>-4.5571298792306154E-3</v>
      </c>
      <c r="J702" s="42">
        <f>'VaR Model'!C702</f>
        <v>45595</v>
      </c>
      <c r="K702" s="71">
        <f>'VaR Model'!D702</f>
        <v>-4.5571298792306154E-3</v>
      </c>
      <c r="L702">
        <f>Backtesting!D702</f>
        <v>0</v>
      </c>
      <c r="M702" s="7">
        <f>Backtesting!F702</f>
        <v>0</v>
      </c>
    </row>
    <row r="703" spans="1:13" x14ac:dyDescent="0.35">
      <c r="A703" s="42">
        <f>'VaR Model'!C703</f>
        <v>45596</v>
      </c>
      <c r="B703" s="50">
        <f>'VaR Model'!D703</f>
        <v>-1.6761768127133179E-2</v>
      </c>
      <c r="J703" s="42">
        <f>'VaR Model'!C703</f>
        <v>45596</v>
      </c>
      <c r="K703" s="71">
        <f>'VaR Model'!D703</f>
        <v>-1.6761768127133179E-2</v>
      </c>
      <c r="L703">
        <f>Backtesting!D703</f>
        <v>0</v>
      </c>
      <c r="M703" s="7">
        <f>Backtesting!F703</f>
        <v>1</v>
      </c>
    </row>
    <row r="704" spans="1:13" x14ac:dyDescent="0.35">
      <c r="A704" s="42">
        <f>'VaR Model'!C704</f>
        <v>45597</v>
      </c>
      <c r="B704" s="50">
        <f>'VaR Model'!D704</f>
        <v>2.7335830655852412E-3</v>
      </c>
      <c r="J704" s="42">
        <f>'VaR Model'!C704</f>
        <v>45597</v>
      </c>
      <c r="K704" s="71">
        <f>'VaR Model'!D704</f>
        <v>2.7335830655852412E-3</v>
      </c>
      <c r="L704">
        <f>Backtesting!D704</f>
        <v>0</v>
      </c>
      <c r="M704" s="7">
        <f>Backtesting!F704</f>
        <v>0</v>
      </c>
    </row>
    <row r="705" spans="1:13" x14ac:dyDescent="0.35">
      <c r="A705" s="42">
        <f>'VaR Model'!C705</f>
        <v>45600</v>
      </c>
      <c r="B705" s="50">
        <f>'VaR Model'!D705</f>
        <v>-1.0831240118411297E-2</v>
      </c>
      <c r="J705" s="42">
        <f>'VaR Model'!C705</f>
        <v>45600</v>
      </c>
      <c r="K705" s="71">
        <f>'VaR Model'!D705</f>
        <v>-1.0831240118411297E-2</v>
      </c>
      <c r="L705">
        <f>Backtesting!D705</f>
        <v>0</v>
      </c>
      <c r="M705" s="7">
        <f>Backtesting!F705</f>
        <v>0</v>
      </c>
    </row>
    <row r="706" spans="1:13" x14ac:dyDescent="0.35">
      <c r="A706" s="42">
        <f>'VaR Model'!C706</f>
        <v>45601</v>
      </c>
      <c r="B706" s="50">
        <f>'VaR Model'!D706</f>
        <v>9.745760383117019E-4</v>
      </c>
      <c r="J706" s="42">
        <f>'VaR Model'!C706</f>
        <v>45601</v>
      </c>
      <c r="K706" s="71">
        <f>'VaR Model'!D706</f>
        <v>9.745760383117019E-4</v>
      </c>
      <c r="L706">
        <f>Backtesting!D706</f>
        <v>0</v>
      </c>
      <c r="M706" s="7">
        <f>Backtesting!F706</f>
        <v>0</v>
      </c>
    </row>
    <row r="707" spans="1:13" x14ac:dyDescent="0.35">
      <c r="A707" s="42">
        <f>'VaR Model'!C707</f>
        <v>45602</v>
      </c>
      <c r="B707" s="50">
        <f>'VaR Model'!D707</f>
        <v>2.0368486143208974E-2</v>
      </c>
      <c r="J707" s="42">
        <f>'VaR Model'!C707</f>
        <v>45602</v>
      </c>
      <c r="K707" s="71">
        <f>'VaR Model'!D707</f>
        <v>2.0368486143208974E-2</v>
      </c>
      <c r="L707">
        <f>Backtesting!D707</f>
        <v>0</v>
      </c>
      <c r="M707" s="7">
        <f>Backtesting!F707</f>
        <v>0</v>
      </c>
    </row>
    <row r="708" spans="1:13" x14ac:dyDescent="0.35">
      <c r="A708" s="42">
        <f>'VaR Model'!C708</f>
        <v>45603</v>
      </c>
      <c r="B708" s="50">
        <f>'VaR Model'!D708</f>
        <v>-9.7310909282311356E-3</v>
      </c>
      <c r="J708" s="42">
        <f>'VaR Model'!C708</f>
        <v>45603</v>
      </c>
      <c r="K708" s="71">
        <f>'VaR Model'!D708</f>
        <v>-9.7310909282311356E-3</v>
      </c>
      <c r="L708">
        <f>Backtesting!D708</f>
        <v>0</v>
      </c>
      <c r="M708" s="7">
        <f>Backtesting!F708</f>
        <v>0</v>
      </c>
    </row>
    <row r="709" spans="1:13" x14ac:dyDescent="0.35">
      <c r="A709" s="42">
        <f>'VaR Model'!C709</f>
        <v>45604</v>
      </c>
      <c r="B709" s="50">
        <f>'VaR Model'!D709</f>
        <v>-3.6764520076817664E-3</v>
      </c>
      <c r="J709" s="42">
        <f>'VaR Model'!C709</f>
        <v>45604</v>
      </c>
      <c r="K709" s="71">
        <f>'VaR Model'!D709</f>
        <v>-3.6764520076817664E-3</v>
      </c>
      <c r="L709">
        <f>Backtesting!D709</f>
        <v>0</v>
      </c>
      <c r="M709" s="7">
        <f>Backtesting!F709</f>
        <v>0</v>
      </c>
    </row>
    <row r="710" spans="1:13" x14ac:dyDescent="0.35">
      <c r="A710" s="42">
        <f>'VaR Model'!C710</f>
        <v>45607</v>
      </c>
      <c r="B710" s="50">
        <f>'VaR Model'!D710</f>
        <v>5.2102346288803647E-3</v>
      </c>
      <c r="J710" s="42">
        <f>'VaR Model'!C710</f>
        <v>45607</v>
      </c>
      <c r="K710" s="71">
        <f>'VaR Model'!D710</f>
        <v>5.2102346288803647E-3</v>
      </c>
      <c r="L710">
        <f>Backtesting!D710</f>
        <v>0</v>
      </c>
      <c r="M710" s="7">
        <f>Backtesting!F710</f>
        <v>0</v>
      </c>
    </row>
    <row r="711" spans="1:13" x14ac:dyDescent="0.35">
      <c r="A711" s="42">
        <f>'VaR Model'!C711</f>
        <v>45608</v>
      </c>
      <c r="B711" s="50">
        <f>'VaR Model'!D711</f>
        <v>-4.0781540372834975E-4</v>
      </c>
      <c r="J711" s="42">
        <f>'VaR Model'!C711</f>
        <v>45608</v>
      </c>
      <c r="K711" s="71">
        <f>'VaR Model'!D711</f>
        <v>-4.0781540372834975E-4</v>
      </c>
      <c r="L711">
        <f>Backtesting!D711</f>
        <v>0</v>
      </c>
      <c r="M711" s="7">
        <f>Backtesting!F711</f>
        <v>0</v>
      </c>
    </row>
    <row r="712" spans="1:13" x14ac:dyDescent="0.35">
      <c r="A712" s="42">
        <f>'VaR Model'!C712</f>
        <v>45609</v>
      </c>
      <c r="B712" s="50">
        <f>'VaR Model'!D712</f>
        <v>-8.7633805160975912E-3</v>
      </c>
      <c r="J712" s="42">
        <f>'VaR Model'!C712</f>
        <v>45609</v>
      </c>
      <c r="K712" s="71">
        <f>'VaR Model'!D712</f>
        <v>-8.7633805160975912E-3</v>
      </c>
      <c r="L712">
        <f>Backtesting!D712</f>
        <v>0</v>
      </c>
      <c r="M712" s="7">
        <f>Backtesting!F712</f>
        <v>0</v>
      </c>
    </row>
    <row r="713" spans="1:13" x14ac:dyDescent="0.35">
      <c r="A713" s="42">
        <f>'VaR Model'!C713</f>
        <v>45610</v>
      </c>
      <c r="B713" s="50">
        <f>'VaR Model'!D713</f>
        <v>-3.043459700795342E-4</v>
      </c>
      <c r="J713" s="42">
        <f>'VaR Model'!C713</f>
        <v>45610</v>
      </c>
      <c r="K713" s="71">
        <f>'VaR Model'!D713</f>
        <v>-3.043459700795342E-4</v>
      </c>
      <c r="L713">
        <f>Backtesting!D713</f>
        <v>0</v>
      </c>
      <c r="M713" s="7">
        <f>Backtesting!F713</f>
        <v>0</v>
      </c>
    </row>
    <row r="714" spans="1:13" x14ac:dyDescent="0.35">
      <c r="A714" s="42">
        <f>'VaR Model'!C714</f>
        <v>45614</v>
      </c>
      <c r="B714" s="50">
        <f>'VaR Model'!D714</f>
        <v>-1.3358368536178854E-2</v>
      </c>
      <c r="J714" s="42">
        <f>'VaR Model'!C714</f>
        <v>45614</v>
      </c>
      <c r="K714" s="71">
        <f>'VaR Model'!D714</f>
        <v>-1.3358368536178854E-2</v>
      </c>
      <c r="L714">
        <f>Backtesting!D714</f>
        <v>0</v>
      </c>
      <c r="M714" s="7">
        <f>Backtesting!F714</f>
        <v>0</v>
      </c>
    </row>
    <row r="715" spans="1:13" x14ac:dyDescent="0.35">
      <c r="A715" s="42">
        <f>'VaR Model'!C715</f>
        <v>45615</v>
      </c>
      <c r="B715" s="50">
        <f>'VaR Model'!D715</f>
        <v>-9.4609702046072612E-4</v>
      </c>
      <c r="J715" s="42">
        <f>'VaR Model'!C715</f>
        <v>45615</v>
      </c>
      <c r="K715" s="71">
        <f>'VaR Model'!D715</f>
        <v>-9.4609702046072612E-4</v>
      </c>
      <c r="L715">
        <f>Backtesting!D715</f>
        <v>0</v>
      </c>
      <c r="M715" s="7">
        <f>Backtesting!F715</f>
        <v>0</v>
      </c>
    </row>
    <row r="716" spans="1:13" x14ac:dyDescent="0.35">
      <c r="A716" s="42">
        <f>'VaR Model'!C716</f>
        <v>45617</v>
      </c>
      <c r="B716" s="50">
        <f>'VaR Model'!D716</f>
        <v>-4.5498308483927948E-3</v>
      </c>
      <c r="J716" s="42">
        <f>'VaR Model'!C716</f>
        <v>45617</v>
      </c>
      <c r="K716" s="71">
        <f>'VaR Model'!D716</f>
        <v>-4.5498308483927948E-3</v>
      </c>
      <c r="L716">
        <f>Backtesting!D716</f>
        <v>0</v>
      </c>
      <c r="M716" s="7">
        <f>Backtesting!F716</f>
        <v>0</v>
      </c>
    </row>
    <row r="717" spans="1:13" x14ac:dyDescent="0.35">
      <c r="A717" s="42">
        <f>'VaR Model'!C717</f>
        <v>45618</v>
      </c>
      <c r="B717" s="50">
        <f>'VaR Model'!D717</f>
        <v>3.4240652440023459E-2</v>
      </c>
      <c r="J717" s="42">
        <f>'VaR Model'!C717</f>
        <v>45618</v>
      </c>
      <c r="K717" s="71">
        <f>'VaR Model'!D717</f>
        <v>3.4240652440023459E-2</v>
      </c>
      <c r="L717">
        <f>Backtesting!D717</f>
        <v>0</v>
      </c>
      <c r="M717" s="7">
        <f>Backtesting!F717</f>
        <v>0</v>
      </c>
    </row>
    <row r="718" spans="1:13" x14ac:dyDescent="0.35">
      <c r="A718" s="42">
        <f>'VaR Model'!C718</f>
        <v>45621</v>
      </c>
      <c r="B718" s="50">
        <f>'VaR Model'!D718</f>
        <v>9.8142959409621717E-3</v>
      </c>
      <c r="J718" s="42">
        <f>'VaR Model'!C718</f>
        <v>45621</v>
      </c>
      <c r="K718" s="71">
        <f>'VaR Model'!D718</f>
        <v>9.8142959409621717E-3</v>
      </c>
      <c r="L718">
        <f>Backtesting!D718</f>
        <v>0</v>
      </c>
      <c r="M718" s="7">
        <f>Backtesting!F718</f>
        <v>0</v>
      </c>
    </row>
    <row r="719" spans="1:13" x14ac:dyDescent="0.35">
      <c r="A719" s="42">
        <f>'VaR Model'!C719</f>
        <v>45622</v>
      </c>
      <c r="B719" s="50">
        <f>'VaR Model'!D719</f>
        <v>7.3940659648313155E-3</v>
      </c>
      <c r="J719" s="42">
        <f>'VaR Model'!C719</f>
        <v>45622</v>
      </c>
      <c r="K719" s="71">
        <f>'VaR Model'!D719</f>
        <v>7.3940659648313155E-3</v>
      </c>
      <c r="L719">
        <f>Backtesting!D719</f>
        <v>0</v>
      </c>
      <c r="M719" s="7">
        <f>Backtesting!F719</f>
        <v>0</v>
      </c>
    </row>
    <row r="720" spans="1:13" x14ac:dyDescent="0.35">
      <c r="A720" s="42">
        <f>'VaR Model'!C720</f>
        <v>45623</v>
      </c>
      <c r="B720" s="50">
        <f>'VaR Model'!D720</f>
        <v>-1.9524908100291929E-3</v>
      </c>
      <c r="J720" s="42">
        <f>'VaR Model'!C720</f>
        <v>45623</v>
      </c>
      <c r="K720" s="71">
        <f>'VaR Model'!D720</f>
        <v>-1.9524908100291929E-3</v>
      </c>
      <c r="L720">
        <f>Backtesting!D720</f>
        <v>0</v>
      </c>
      <c r="M720" s="7">
        <f>Backtesting!F720</f>
        <v>0</v>
      </c>
    </row>
    <row r="721" spans="1:13" x14ac:dyDescent="0.35">
      <c r="A721" s="42">
        <f>'VaR Model'!C721</f>
        <v>45624</v>
      </c>
      <c r="B721" s="50">
        <f>'VaR Model'!D721</f>
        <v>-1.7841263099200758E-2</v>
      </c>
      <c r="J721" s="42">
        <f>'VaR Model'!C721</f>
        <v>45624</v>
      </c>
      <c r="K721" s="71">
        <f>'VaR Model'!D721</f>
        <v>-1.7841263099200758E-2</v>
      </c>
      <c r="L721">
        <f>Backtesting!D721</f>
        <v>0</v>
      </c>
      <c r="M721" s="7">
        <f>Backtesting!F721</f>
        <v>1</v>
      </c>
    </row>
    <row r="722" spans="1:13" x14ac:dyDescent="0.35">
      <c r="A722" s="42">
        <f>'VaR Model'!C722</f>
        <v>45625</v>
      </c>
      <c r="B722" s="50">
        <f>'VaR Model'!D722</f>
        <v>7.5920910300703616E-3</v>
      </c>
      <c r="J722" s="42">
        <f>'VaR Model'!C722</f>
        <v>45625</v>
      </c>
      <c r="K722" s="71">
        <f>'VaR Model'!D722</f>
        <v>7.5920910300703616E-3</v>
      </c>
      <c r="L722">
        <f>Backtesting!D722</f>
        <v>0</v>
      </c>
      <c r="M722" s="7">
        <f>Backtesting!F722</f>
        <v>0</v>
      </c>
    </row>
    <row r="723" spans="1:13" x14ac:dyDescent="0.35">
      <c r="A723" s="42">
        <f>'VaR Model'!C723</f>
        <v>45628</v>
      </c>
      <c r="B723" s="50">
        <f>'VaR Model'!D723</f>
        <v>6.1162134330005969E-3</v>
      </c>
      <c r="J723" s="42">
        <f>'VaR Model'!C723</f>
        <v>45628</v>
      </c>
      <c r="K723" s="71">
        <f>'VaR Model'!D723</f>
        <v>6.1162134330005969E-3</v>
      </c>
      <c r="L723">
        <f>Backtesting!D723</f>
        <v>0</v>
      </c>
      <c r="M723" s="7">
        <f>Backtesting!F723</f>
        <v>0</v>
      </c>
    </row>
    <row r="724" spans="1:13" x14ac:dyDescent="0.35">
      <c r="A724" s="42">
        <f>'VaR Model'!C724</f>
        <v>45629</v>
      </c>
      <c r="B724" s="50">
        <f>'VaR Model'!D724</f>
        <v>3.2865308295184736E-3</v>
      </c>
      <c r="J724" s="42">
        <f>'VaR Model'!C724</f>
        <v>45629</v>
      </c>
      <c r="K724" s="71">
        <f>'VaR Model'!D724</f>
        <v>3.2865308295184736E-3</v>
      </c>
      <c r="L724">
        <f>Backtesting!D724</f>
        <v>0</v>
      </c>
      <c r="M724" s="7">
        <f>Backtesting!F724</f>
        <v>0</v>
      </c>
    </row>
    <row r="725" spans="1:13" x14ac:dyDescent="0.35">
      <c r="A725" s="42">
        <f>'VaR Model'!C725</f>
        <v>45630</v>
      </c>
      <c r="B725" s="50">
        <f>'VaR Model'!D725</f>
        <v>-1.251633161381021E-3</v>
      </c>
      <c r="J725" s="42">
        <f>'VaR Model'!C725</f>
        <v>45630</v>
      </c>
      <c r="K725" s="71">
        <f>'VaR Model'!D725</f>
        <v>-1.251633161381021E-3</v>
      </c>
      <c r="L725">
        <f>Backtesting!D725</f>
        <v>0</v>
      </c>
      <c r="M725" s="7">
        <f>Backtesting!F725</f>
        <v>0</v>
      </c>
    </row>
    <row r="726" spans="1:13" x14ac:dyDescent="0.35">
      <c r="A726" s="42">
        <f>'VaR Model'!C726</f>
        <v>45631</v>
      </c>
      <c r="B726" s="50">
        <f>'VaR Model'!D726</f>
        <v>1.499135455780713E-2</v>
      </c>
      <c r="J726" s="42">
        <f>'VaR Model'!C726</f>
        <v>45631</v>
      </c>
      <c r="K726" s="71">
        <f>'VaR Model'!D726</f>
        <v>1.499135455780713E-2</v>
      </c>
      <c r="L726">
        <f>Backtesting!D726</f>
        <v>0</v>
      </c>
      <c r="M726" s="7">
        <f>Backtesting!F726</f>
        <v>0</v>
      </c>
    </row>
    <row r="727" spans="1:13" x14ac:dyDescent="0.35">
      <c r="A727" s="42">
        <f>'VaR Model'!C727</f>
        <v>45632</v>
      </c>
      <c r="B727" s="50">
        <f>'VaR Model'!D727</f>
        <v>-3.327685631879621E-3</v>
      </c>
      <c r="J727" s="42">
        <f>'VaR Model'!C727</f>
        <v>45632</v>
      </c>
      <c r="K727" s="71">
        <f>'VaR Model'!D727</f>
        <v>-3.327685631879621E-3</v>
      </c>
      <c r="L727">
        <f>Backtesting!D727</f>
        <v>0</v>
      </c>
      <c r="M727" s="7">
        <f>Backtesting!F727</f>
        <v>0</v>
      </c>
    </row>
    <row r="728" spans="1:13" x14ac:dyDescent="0.35">
      <c r="A728" s="42">
        <f>'VaR Model'!C728</f>
        <v>45635</v>
      </c>
      <c r="B728" s="50">
        <f>'VaR Model'!D728</f>
        <v>-5.7078186946775836E-3</v>
      </c>
      <c r="J728" s="42">
        <f>'VaR Model'!C728</f>
        <v>45635</v>
      </c>
      <c r="K728" s="71">
        <f>'VaR Model'!D728</f>
        <v>-5.7078186946775836E-3</v>
      </c>
      <c r="L728">
        <f>Backtesting!D728</f>
        <v>0</v>
      </c>
      <c r="M728" s="7">
        <f>Backtesting!F728</f>
        <v>0</v>
      </c>
    </row>
    <row r="729" spans="1:13" x14ac:dyDescent="0.35">
      <c r="A729" s="42">
        <f>'VaR Model'!C729</f>
        <v>45636</v>
      </c>
      <c r="B729" s="50">
        <f>'VaR Model'!D729</f>
        <v>1.5354040446640283E-3</v>
      </c>
      <c r="J729" s="42">
        <f>'VaR Model'!C729</f>
        <v>45636</v>
      </c>
      <c r="K729" s="71">
        <f>'VaR Model'!D729</f>
        <v>1.5354040446640283E-3</v>
      </c>
      <c r="L729">
        <f>Backtesting!D729</f>
        <v>0</v>
      </c>
      <c r="M729" s="7">
        <f>Backtesting!F729</f>
        <v>0</v>
      </c>
    </row>
    <row r="730" spans="1:13" x14ac:dyDescent="0.35">
      <c r="A730" s="42">
        <f>'VaR Model'!C730</f>
        <v>45637</v>
      </c>
      <c r="B730" s="50">
        <f>'VaR Model'!D730</f>
        <v>8.1213641330608508E-4</v>
      </c>
      <c r="J730" s="42">
        <f>'VaR Model'!C730</f>
        <v>45637</v>
      </c>
      <c r="K730" s="71">
        <f>'VaR Model'!D730</f>
        <v>8.1213641330608508E-4</v>
      </c>
      <c r="L730">
        <f>Backtesting!D730</f>
        <v>0</v>
      </c>
      <c r="M730" s="7">
        <f>Backtesting!F730</f>
        <v>0</v>
      </c>
    </row>
    <row r="731" spans="1:13" x14ac:dyDescent="0.35">
      <c r="A731" s="42">
        <f>'VaR Model'!C731</f>
        <v>45638</v>
      </c>
      <c r="B731" s="50">
        <f>'VaR Model'!D731</f>
        <v>-1.6184100167006125E-3</v>
      </c>
      <c r="J731" s="42">
        <f>'VaR Model'!C731</f>
        <v>45638</v>
      </c>
      <c r="K731" s="71">
        <f>'VaR Model'!D731</f>
        <v>-1.6184100167006125E-3</v>
      </c>
      <c r="L731">
        <f>Backtesting!D731</f>
        <v>0</v>
      </c>
      <c r="M731" s="7">
        <f>Backtesting!F731</f>
        <v>0</v>
      </c>
    </row>
    <row r="732" spans="1:13" x14ac:dyDescent="0.35">
      <c r="A732" s="42">
        <f>'VaR Model'!C732</f>
        <v>45639</v>
      </c>
      <c r="B732" s="50">
        <f>'VaR Model'!D732</f>
        <v>1.0077634872086197E-2</v>
      </c>
      <c r="J732" s="42">
        <f>'VaR Model'!C732</f>
        <v>45639</v>
      </c>
      <c r="K732" s="71">
        <f>'VaR Model'!D732</f>
        <v>1.0077634872086197E-2</v>
      </c>
      <c r="L732">
        <f>Backtesting!D732</f>
        <v>0</v>
      </c>
      <c r="M732" s="7">
        <f>Backtesting!F732</f>
        <v>0</v>
      </c>
    </row>
    <row r="733" spans="1:13" x14ac:dyDescent="0.35">
      <c r="A733" s="42">
        <f>'VaR Model'!C733</f>
        <v>45642</v>
      </c>
      <c r="B733" s="50">
        <f>'VaR Model'!D733</f>
        <v>-5.1138507053655113E-3</v>
      </c>
      <c r="J733" s="42">
        <f>'VaR Model'!C733</f>
        <v>45642</v>
      </c>
      <c r="K733" s="71">
        <f>'VaR Model'!D733</f>
        <v>-5.1138507053655113E-3</v>
      </c>
      <c r="L733">
        <f>Backtesting!D733</f>
        <v>0</v>
      </c>
      <c r="M733" s="7">
        <f>Backtesting!F733</f>
        <v>0</v>
      </c>
    </row>
    <row r="734" spans="1:13" x14ac:dyDescent="0.35">
      <c r="A734" s="42">
        <f>'VaR Model'!C734</f>
        <v>45643</v>
      </c>
      <c r="B734" s="50">
        <f>'VaR Model'!D734</f>
        <v>-1.0052777197525108E-2</v>
      </c>
      <c r="J734" s="42">
        <f>'VaR Model'!C734</f>
        <v>45643</v>
      </c>
      <c r="K734" s="71">
        <f>'VaR Model'!D734</f>
        <v>-1.0052777197525108E-2</v>
      </c>
      <c r="L734">
        <f>Backtesting!D734</f>
        <v>0</v>
      </c>
      <c r="M734" s="7">
        <f>Backtesting!F734</f>
        <v>0</v>
      </c>
    </row>
    <row r="735" spans="1:13" x14ac:dyDescent="0.35">
      <c r="A735" s="42">
        <f>'VaR Model'!C735</f>
        <v>45644</v>
      </c>
      <c r="B735" s="50">
        <f>'VaR Model'!D735</f>
        <v>-1.3340136854977046E-4</v>
      </c>
      <c r="J735" s="42">
        <f>'VaR Model'!C735</f>
        <v>45644</v>
      </c>
      <c r="K735" s="71">
        <f>'VaR Model'!D735</f>
        <v>-1.3340136854977046E-4</v>
      </c>
      <c r="L735">
        <f>Backtesting!D735</f>
        <v>0</v>
      </c>
      <c r="M735" s="7">
        <f>Backtesting!F735</f>
        <v>0</v>
      </c>
    </row>
    <row r="736" spans="1:13" x14ac:dyDescent="0.35">
      <c r="A736" s="42">
        <f>'VaR Model'!C736</f>
        <v>45645</v>
      </c>
      <c r="B736" s="50">
        <f>'VaR Model'!D736</f>
        <v>-1.6432730892730195E-2</v>
      </c>
      <c r="J736" s="42">
        <f>'VaR Model'!C736</f>
        <v>45645</v>
      </c>
      <c r="K736" s="71">
        <f>'VaR Model'!D736</f>
        <v>-1.6432730892730195E-2</v>
      </c>
      <c r="L736">
        <f>Backtesting!D736</f>
        <v>0</v>
      </c>
      <c r="M736" s="7">
        <f>Backtesting!F736</f>
        <v>1</v>
      </c>
    </row>
    <row r="737" spans="1:13" x14ac:dyDescent="0.35">
      <c r="A737" s="42">
        <f>'VaR Model'!C737</f>
        <v>45646</v>
      </c>
      <c r="B737" s="50">
        <f>'VaR Model'!D737</f>
        <v>-1.2011111372050099E-2</v>
      </c>
      <c r="J737" s="42">
        <f>'VaR Model'!C737</f>
        <v>45646</v>
      </c>
      <c r="K737" s="71">
        <f>'VaR Model'!D737</f>
        <v>-1.2011111372050099E-2</v>
      </c>
      <c r="L737">
        <f>Backtesting!D737</f>
        <v>0</v>
      </c>
      <c r="M737" s="7">
        <f>Backtesting!F737</f>
        <v>0</v>
      </c>
    </row>
    <row r="738" spans="1:13" x14ac:dyDescent="0.35">
      <c r="A738" s="42">
        <f>'VaR Model'!C738</f>
        <v>45649</v>
      </c>
      <c r="B738" s="50">
        <f>'VaR Model'!D738</f>
        <v>7.8373513656051566E-3</v>
      </c>
      <c r="J738" s="42">
        <f>'VaR Model'!C738</f>
        <v>45649</v>
      </c>
      <c r="K738" s="71">
        <f>'VaR Model'!D738</f>
        <v>7.8373513656051566E-3</v>
      </c>
      <c r="L738">
        <f>Backtesting!D738</f>
        <v>0</v>
      </c>
      <c r="M738" s="7">
        <f>Backtesting!F738</f>
        <v>0</v>
      </c>
    </row>
    <row r="739" spans="1:13" x14ac:dyDescent="0.35">
      <c r="A739" s="42">
        <f>'VaR Model'!C739</f>
        <v>45650</v>
      </c>
      <c r="B739" s="50">
        <f>'VaR Model'!D739</f>
        <v>1.3307284405224616E-3</v>
      </c>
      <c r="J739" s="42">
        <f>'VaR Model'!C739</f>
        <v>45650</v>
      </c>
      <c r="K739" s="71">
        <f>'VaR Model'!D739</f>
        <v>1.3307284405224616E-3</v>
      </c>
      <c r="L739">
        <f>Backtesting!D739</f>
        <v>0</v>
      </c>
      <c r="M739" s="7">
        <f>Backtesting!F739</f>
        <v>0</v>
      </c>
    </row>
    <row r="740" spans="1:13" x14ac:dyDescent="0.35">
      <c r="A740" s="42">
        <f>'VaR Model'!C740</f>
        <v>45652</v>
      </c>
      <c r="B740" s="50">
        <f>'VaR Model'!D740</f>
        <v>-2.3009378911331285E-3</v>
      </c>
      <c r="J740" s="42">
        <f>'VaR Model'!C740</f>
        <v>45652</v>
      </c>
      <c r="K740" s="71">
        <f>'VaR Model'!D740</f>
        <v>-2.3009378911331285E-3</v>
      </c>
      <c r="L740">
        <f>Backtesting!D740</f>
        <v>0</v>
      </c>
      <c r="M740" s="7">
        <f>Backtesting!F740</f>
        <v>0</v>
      </c>
    </row>
    <row r="741" spans="1:13" x14ac:dyDescent="0.35">
      <c r="A741" s="42">
        <f>'VaR Model'!C741</f>
        <v>45653</v>
      </c>
      <c r="B741" s="50">
        <f>'VaR Model'!D741</f>
        <v>3.7690278758324624E-3</v>
      </c>
      <c r="J741" s="42">
        <f>'VaR Model'!C741</f>
        <v>45653</v>
      </c>
      <c r="K741" s="71">
        <f>'VaR Model'!D741</f>
        <v>3.7690278758324624E-3</v>
      </c>
      <c r="L741">
        <f>Backtesting!D741</f>
        <v>0</v>
      </c>
      <c r="M741" s="7">
        <f>Backtesting!F741</f>
        <v>0</v>
      </c>
    </row>
    <row r="742" spans="1:13" x14ac:dyDescent="0.35">
      <c r="A742" s="42">
        <f>'VaR Model'!C742</f>
        <v>45656</v>
      </c>
      <c r="B742" s="50">
        <f>'VaR Model'!D742</f>
        <v>-5.7691620352529459E-3</v>
      </c>
      <c r="J742" s="42">
        <f>'VaR Model'!C742</f>
        <v>45656</v>
      </c>
      <c r="K742" s="71">
        <f>'VaR Model'!D742</f>
        <v>-5.7691620352529459E-3</v>
      </c>
      <c r="L742">
        <f>Backtesting!D742</f>
        <v>0</v>
      </c>
      <c r="M742" s="7">
        <f>Backtesting!F742</f>
        <v>0</v>
      </c>
    </row>
    <row r="743" spans="1:13" ht="15" thickBot="1" x14ac:dyDescent="0.4">
      <c r="A743" s="43">
        <f>'VaR Model'!C743</f>
        <v>45657</v>
      </c>
      <c r="B743" s="51">
        <f>'VaR Model'!D743</f>
        <v>-4.3154649389038824E-3</v>
      </c>
      <c r="J743" s="43">
        <f>'VaR Model'!C743</f>
        <v>45657</v>
      </c>
      <c r="K743" s="72">
        <f>'VaR Model'!D743</f>
        <v>-4.3154649389038824E-3</v>
      </c>
      <c r="L743" s="44">
        <f>Backtesting!D743</f>
        <v>0</v>
      </c>
      <c r="M743" s="8">
        <f>Backtesting!F743</f>
        <v>0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Data</vt:lpstr>
      <vt:lpstr>Log Returns</vt:lpstr>
      <vt:lpstr>VaR Model</vt:lpstr>
      <vt:lpstr>Backtesting</vt:lpstr>
      <vt:lpstr>PBI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SAHARAN</dc:creator>
  <cp:lastModifiedBy>ANURAG SAHARAN</cp:lastModifiedBy>
  <dcterms:created xsi:type="dcterms:W3CDTF">2026-03-02T12:57:09Z</dcterms:created>
  <dcterms:modified xsi:type="dcterms:W3CDTF">2026-03-03T00:29:45Z</dcterms:modified>
</cp:coreProperties>
</file>